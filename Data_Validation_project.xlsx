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D MARKETING\dataset\"/>
    </mc:Choice>
  </mc:AlternateContent>
  <xr:revisionPtr revIDLastSave="0" documentId="13_ncr:1_{B7C5BD76-7D70-474E-857C-88BCEE7BCAFE}" xr6:coauthVersionLast="47" xr6:coauthVersionMax="47" xr10:uidLastSave="{00000000-0000-0000-0000-000000000000}"/>
  <bookViews>
    <workbookView xWindow="-120" yWindow="-120" windowWidth="20730" windowHeight="11310" activeTab="1" xr2:uid="{18951C83-CABA-4075-931B-7C2AFE453EB2}"/>
  </bookViews>
  <sheets>
    <sheet name="Sales" sheetId="1" r:id="rId1"/>
    <sheet name="Customers" sheetId="3" r:id="rId2"/>
    <sheet name="Products" sheetId="2" r:id="rId3"/>
    <sheet name="St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2" i="4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3" i="1"/>
  <c r="F2" i="1"/>
  <c r="A3" i="3" a="1"/>
  <c r="A3" i="3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2" i="3" a="1"/>
  <c r="A2" i="3" s="1"/>
  <c r="B419" i="1" l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<sst xmlns="http://schemas.openxmlformats.org/spreadsheetml/2006/main" count="6555" uniqueCount="409">
  <si>
    <t xml:space="preserve">Date </t>
  </si>
  <si>
    <t>Odrder ID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</si>
  <si>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</si>
  <si>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</si>
  <si>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</si>
  <si>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</si>
  <si>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</si>
  <si>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</si>
  <si>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</si>
  <si>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</si>
  <si>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</si>
  <si>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</si>
  <si>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</si>
  <si>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</si>
  <si>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</si>
  <si>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</si>
  <si>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</si>
  <si>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</si>
  <si>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</si>
  <si>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</si>
  <si>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</si>
  <si>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</si>
  <si>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</si>
  <si>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</si>
  <si>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</si>
  <si>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</si>
  <si>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</si>
  <si>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</si>
  <si>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</si>
  <si>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</si>
  <si>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</si>
  <si>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</si>
  <si>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</si>
  <si>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</si>
  <si>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</si>
  <si>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</si>
  <si>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</si>
  <si>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</si>
  <si>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</si>
  <si>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</si>
  <si>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</si>
  <si>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</si>
  <si>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</si>
  <si>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</si>
  <si>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</si>
  <si>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</si>
  <si>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</si>
  <si>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</si>
  <si>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</si>
  <si>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</si>
  <si>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</si>
  <si>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</si>
  <si>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</si>
  <si>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</si>
  <si>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</si>
  <si>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</si>
  <si>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</si>
  <si>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</si>
  <si>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</si>
  <si>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</si>
  <si>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</si>
  <si>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</si>
  <si>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</si>
  <si>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</si>
  <si>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</si>
  <si>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</si>
  <si>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</si>
  <si>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</si>
  <si>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</si>
  <si>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</si>
  <si>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</si>
  <si>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</si>
  <si>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</si>
  <si>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</si>
  <si>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</si>
  <si>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</si>
  <si>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</si>
  <si>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</si>
  <si>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</si>
  <si>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</si>
  <si>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</si>
  <si>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</si>
  <si>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</si>
  <si>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</si>
  <si>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</si>
  <si>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</si>
  <si>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</si>
  <si>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</si>
  <si>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</si>
  <si>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</si>
  <si>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</si>
  <si>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</si>
  <si>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</si>
  <si>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</si>
  <si>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</si>
  <si>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</si>
  <si>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</si>
  <si>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</si>
  <si>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</si>
  <si>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</si>
  <si>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</si>
  <si>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</si>
  <si>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Product Name</t>
  </si>
  <si>
    <t>Product Price</t>
  </si>
  <si>
    <t>Product Category</t>
  </si>
  <si>
    <t>Electronics</t>
  </si>
  <si>
    <t>Home &amp; Kitchen</t>
  </si>
  <si>
    <t>Sports &amp; Outdoors</t>
  </si>
  <si>
    <t>Musical Instruments</t>
  </si>
  <si>
    <t>Clothing</t>
  </si>
  <si>
    <t>Pet Supplies</t>
  </si>
  <si>
    <t>Air purifier</t>
  </si>
  <si>
    <t>Air conditioner</t>
  </si>
  <si>
    <t>Alarm clock</t>
  </si>
  <si>
    <t>Backup charger</t>
  </si>
  <si>
    <t>Bread maker</t>
  </si>
  <si>
    <t>Banknote counter</t>
  </si>
  <si>
    <t>Blender</t>
  </si>
  <si>
    <t>Bluetooth speaker</t>
  </si>
  <si>
    <t>Clothes dryer</t>
  </si>
  <si>
    <t>Coffee maker</t>
  </si>
  <si>
    <t>Computer</t>
  </si>
  <si>
    <t>Copier</t>
  </si>
  <si>
    <t>Curling iron</t>
  </si>
  <si>
    <t xml:space="preserve">oven gloves </t>
  </si>
  <si>
    <t>kitchen foil</t>
  </si>
  <si>
    <t>pizza cutter</t>
  </si>
  <si>
    <t>can opener</t>
  </si>
  <si>
    <t>tea toweles</t>
  </si>
  <si>
    <t>bread pin</t>
  </si>
  <si>
    <t>Iron Flask Sports Water Bottle</t>
  </si>
  <si>
    <t>Hydro Flask Wide Mouth Straw Lid</t>
  </si>
  <si>
    <t>Fit Simplify Resistance Loop Exercise</t>
  </si>
  <si>
    <t xml:space="preserve">Basics Rubber Encased Hex Dumbbell </t>
  </si>
  <si>
    <t>Halo View fitness tracker</t>
  </si>
  <si>
    <t>Merino Wool Hiking Socks</t>
  </si>
  <si>
    <t>GearLight TAC LED Flashlight</t>
  </si>
  <si>
    <t>URBNFit Exercise Ball</t>
  </si>
  <si>
    <t xml:space="preserve">Electric Protein Shaker </t>
  </si>
  <si>
    <t>Workout Gloves</t>
  </si>
  <si>
    <t>Swim Cap Silicone</t>
  </si>
  <si>
    <t xml:space="preserve">Swim Goggles Mirrored </t>
  </si>
  <si>
    <t xml:space="preserve"> Kick Scooter for Kids </t>
  </si>
  <si>
    <t>Tactical Belt</t>
  </si>
  <si>
    <t>Body Glide</t>
  </si>
  <si>
    <t>Protective Knee Pads</t>
  </si>
  <si>
    <t>Acoustic Electric Bass Guitar</t>
  </si>
  <si>
    <t>Compact Drum Set</t>
  </si>
  <si>
    <t xml:space="preserve">Key Keyboard Piano </t>
  </si>
  <si>
    <t>Trumpet Brass</t>
  </si>
  <si>
    <t>Soprano Ukulele with Bag</t>
  </si>
  <si>
    <t>Vocal Dynamic Microphone</t>
  </si>
  <si>
    <t xml:space="preserve"> Wireless Bluetooth Microphone  </t>
  </si>
  <si>
    <t xml:space="preserve">Ankle Training Socks </t>
  </si>
  <si>
    <t>Men's Pullover Hoodie</t>
  </si>
  <si>
    <t>Men's Dress Shirt</t>
  </si>
  <si>
    <t>Men's V-Neck T-Shirt</t>
  </si>
  <si>
    <t>Men's Fit Suit</t>
  </si>
  <si>
    <t>Floral Tuxedo</t>
  </si>
  <si>
    <t>Relaxed Straight Jeans</t>
  </si>
  <si>
    <t>Regular  Straight  Jean</t>
  </si>
  <si>
    <t>Watertight Jacket</t>
  </si>
  <si>
    <t>Military Jacket</t>
  </si>
  <si>
    <t>Front Polar Fleece Jacket</t>
  </si>
  <si>
    <t>Rain Jacket</t>
  </si>
  <si>
    <t>Pea Coat Trench Coat</t>
  </si>
  <si>
    <t>Blend Top Coat</t>
  </si>
  <si>
    <t>Breasted Peacoa</t>
  </si>
  <si>
    <t>Casual Cotton Blend Peacoat</t>
  </si>
  <si>
    <t>Blend Scarf Coat</t>
  </si>
  <si>
    <t>Flannel Pajama Pant</t>
  </si>
  <si>
    <t>Sleep Pajama Pant</t>
  </si>
  <si>
    <t>Knit Pajama Set</t>
  </si>
  <si>
    <t>Satin Pajama Set Sleepwear</t>
  </si>
  <si>
    <t>Women Cotton Socks</t>
  </si>
  <si>
    <t>Trefoil Crew Socks</t>
  </si>
  <si>
    <t>Denim Shirt Dress</t>
  </si>
  <si>
    <t xml:space="preserve">Business Wedding Party Jacket </t>
  </si>
  <si>
    <t>Waisted Pleather Pants</t>
  </si>
  <si>
    <t>Sport Active Yoga Pants</t>
  </si>
  <si>
    <t>Cocktail Long Dress</t>
  </si>
  <si>
    <t>Workout Tank Tops</t>
  </si>
  <si>
    <t>Swing Skater Dresses</t>
  </si>
  <si>
    <t>Sleeve Mini Dress</t>
  </si>
  <si>
    <t>Belted Bodycon Dress</t>
  </si>
  <si>
    <t>Mesh Midi Skirt</t>
  </si>
  <si>
    <t>Pencil Skirt</t>
  </si>
  <si>
    <t>Elastic Midi Skirt</t>
  </si>
  <si>
    <t>Women's Long Blazer</t>
  </si>
  <si>
    <t>Straight Leg Pant</t>
  </si>
  <si>
    <t>Bomber Jacket</t>
  </si>
  <si>
    <t>Jacket Coat Cardigan</t>
  </si>
  <si>
    <t>Slim Fit Blazer Pant</t>
  </si>
  <si>
    <t>Jacket Work Office Blazer</t>
  </si>
  <si>
    <t>Office Jacket Outwear</t>
  </si>
  <si>
    <t>Pants Set Jumpsuits</t>
  </si>
  <si>
    <t>motion detection</t>
  </si>
  <si>
    <t>Adult Dry Dog Food</t>
  </si>
  <si>
    <t>Vitamins and Minerals</t>
  </si>
  <si>
    <t>Adult Dry Cat Food</t>
  </si>
  <si>
    <t>Benebone Durable Dog</t>
  </si>
  <si>
    <t xml:space="preserve">Milk-Bone Snacks Dog </t>
  </si>
  <si>
    <t>Dog Apparel</t>
  </si>
  <si>
    <t xml:space="preserve">MidWest Bolster Pet Bed </t>
  </si>
  <si>
    <t>Fresh Step Advanced Cat Litter</t>
  </si>
  <si>
    <t>Fancy Feast Cat Food</t>
  </si>
  <si>
    <t>Natural Crunchy Dog Treats</t>
  </si>
  <si>
    <t>Cat Pad Refills</t>
  </si>
  <si>
    <t>Fresh Lightweight Cat Litter</t>
  </si>
  <si>
    <t>Shirt Winter Puppy Sweater for Dogs</t>
  </si>
  <si>
    <t>Rice Dry Dog Food</t>
  </si>
  <si>
    <t>Midwest</t>
  </si>
  <si>
    <t>Gutierrez</t>
  </si>
  <si>
    <t>Molly</t>
  </si>
  <si>
    <t>F</t>
  </si>
  <si>
    <t>Hardwick</t>
  </si>
  <si>
    <t>Stephen</t>
  </si>
  <si>
    <t>M</t>
  </si>
  <si>
    <t>Delgado</t>
  </si>
  <si>
    <t>Chester</t>
  </si>
  <si>
    <t>Simon</t>
  </si>
  <si>
    <t>Irene</t>
  </si>
  <si>
    <t>Delvalle</t>
  </si>
  <si>
    <t>Edward</t>
  </si>
  <si>
    <t>Jones</t>
  </si>
  <si>
    <t>Ernie</t>
  </si>
  <si>
    <t>Buford</t>
  </si>
  <si>
    <t>Ralph</t>
  </si>
  <si>
    <t>Lee</t>
  </si>
  <si>
    <t>Gregory</t>
  </si>
  <si>
    <t>Smith</t>
  </si>
  <si>
    <t>Jerry</t>
  </si>
  <si>
    <t>Beard</t>
  </si>
  <si>
    <t>Robert</t>
  </si>
  <si>
    <t>Mathis</t>
  </si>
  <si>
    <t>John</t>
  </si>
  <si>
    <t>Barajas</t>
  </si>
  <si>
    <t>Leonard</t>
  </si>
  <si>
    <t>James</t>
  </si>
  <si>
    <t>Davis</t>
  </si>
  <si>
    <t>Janet</t>
  </si>
  <si>
    <t>Bell</t>
  </si>
  <si>
    <t>Thomas</t>
  </si>
  <si>
    <t>Combs</t>
  </si>
  <si>
    <t>Danny</t>
  </si>
  <si>
    <t>Vivanco</t>
  </si>
  <si>
    <t>Anne</t>
  </si>
  <si>
    <t>Craig</t>
  </si>
  <si>
    <t>Bobbie</t>
  </si>
  <si>
    <t>Ilona</t>
  </si>
  <si>
    <t>Watkins</t>
  </si>
  <si>
    <t>Jan</t>
  </si>
  <si>
    <t>Callaway</t>
  </si>
  <si>
    <t>Jesus</t>
  </si>
  <si>
    <t>Hammett</t>
  </si>
  <si>
    <t>Josephine</t>
  </si>
  <si>
    <t>Jarman</t>
  </si>
  <si>
    <t>Sandra</t>
  </si>
  <si>
    <t>Butler</t>
  </si>
  <si>
    <t>Jennifer</t>
  </si>
  <si>
    <t>Simons</t>
  </si>
  <si>
    <t>Larry</t>
  </si>
  <si>
    <t>Mason</t>
  </si>
  <si>
    <t>Penny</t>
  </si>
  <si>
    <t>Burton</t>
  </si>
  <si>
    <t>Theodore</t>
  </si>
  <si>
    <t>Hunt</t>
  </si>
  <si>
    <t>Joseph</t>
  </si>
  <si>
    <t>Loiselle</t>
  </si>
  <si>
    <t>Nguyen</t>
  </si>
  <si>
    <t>William</t>
  </si>
  <si>
    <t>Schrupp</t>
  </si>
  <si>
    <t>Donaldson</t>
  </si>
  <si>
    <t>Adriana</t>
  </si>
  <si>
    <t>Thompson</t>
  </si>
  <si>
    <t>Felipe</t>
  </si>
  <si>
    <t>Livingston</t>
  </si>
  <si>
    <t>Lester</t>
  </si>
  <si>
    <t>Ashley</t>
  </si>
  <si>
    <t>Emma</t>
  </si>
  <si>
    <t>Jeffery</t>
  </si>
  <si>
    <t>Farris</t>
  </si>
  <si>
    <t>Augustina</t>
  </si>
  <si>
    <t>Colman</t>
  </si>
  <si>
    <t>Katherine</t>
  </si>
  <si>
    <t>Martin</t>
  </si>
  <si>
    <t>Daniel</t>
  </si>
  <si>
    <t>Atencio</t>
  </si>
  <si>
    <t>Morris</t>
  </si>
  <si>
    <t>Harrod</t>
  </si>
  <si>
    <t>Gloria</t>
  </si>
  <si>
    <t>Angelo</t>
  </si>
  <si>
    <t>Kelley</t>
  </si>
  <si>
    <t>Virginia</t>
  </si>
  <si>
    <t>Turner</t>
  </si>
  <si>
    <t>Mortimer</t>
  </si>
  <si>
    <t>Cecilia</t>
  </si>
  <si>
    <t>Stutts</t>
  </si>
  <si>
    <t>Belle</t>
  </si>
  <si>
    <t>Bryant</t>
  </si>
  <si>
    <t>Nolan</t>
  </si>
  <si>
    <t>Allison</t>
  </si>
  <si>
    <t>Connie</t>
  </si>
  <si>
    <t>Last_NAME</t>
  </si>
  <si>
    <t>Fisrt _Name</t>
  </si>
  <si>
    <t>Customer_Id</t>
  </si>
  <si>
    <t>Gender</t>
  </si>
  <si>
    <t>CS_Sim_5</t>
  </si>
  <si>
    <t>CS_Dav_37</t>
  </si>
  <si>
    <t>CS_Mat_12</t>
  </si>
  <si>
    <t>CS_Bea_11</t>
  </si>
  <si>
    <t>CS_Kel_44</t>
  </si>
  <si>
    <t>CS_Dav_15</t>
  </si>
  <si>
    <t>CS_Don_33</t>
  </si>
  <si>
    <t>CS_Cal_22</t>
  </si>
  <si>
    <t>CS_Com_17</t>
  </si>
  <si>
    <t>CS_Loi_30</t>
  </si>
  <si>
    <t>CS_Jon_20</t>
  </si>
  <si>
    <t>CS_Ham_23</t>
  </si>
  <si>
    <t>CS_But_25</t>
  </si>
  <si>
    <t>CS_Leo_14</t>
  </si>
  <si>
    <t>CS_Stu_47</t>
  </si>
  <si>
    <t>CS_Bry_48</t>
  </si>
  <si>
    <t>CS_All_50</t>
  </si>
  <si>
    <t>CS_Lee_9</t>
  </si>
  <si>
    <t>CS_Tho_34</t>
  </si>
  <si>
    <t>CS_Bur_28</t>
  </si>
  <si>
    <t>CS_Bar_13</t>
  </si>
  <si>
    <t>CS_Wat_21</t>
  </si>
  <si>
    <t>CS_Bel_43</t>
  </si>
  <si>
    <t>CS_Mas_27</t>
  </si>
  <si>
    <t>CS_Del_6</t>
  </si>
  <si>
    <t>CS_Col_39</t>
  </si>
  <si>
    <t>CS_Sch_32</t>
  </si>
  <si>
    <t>CS_Jon_7</t>
  </si>
  <si>
    <t>CS_Mor_46</t>
  </si>
  <si>
    <t>CS_Gut_2</t>
  </si>
  <si>
    <t>CS_Sim_26</t>
  </si>
  <si>
    <t>CS_Bel_16</t>
  </si>
  <si>
    <t>CS_Ash_36</t>
  </si>
  <si>
    <t>CS_Tur_45</t>
  </si>
  <si>
    <t>CS_Ngu_31</t>
  </si>
  <si>
    <t>CS_Cra_19</t>
  </si>
  <si>
    <t>CS_Har_42</t>
  </si>
  <si>
    <t>CS_Viv_18</t>
  </si>
  <si>
    <t>CS_Buf_8</t>
  </si>
  <si>
    <t>CS_Mar_40</t>
  </si>
  <si>
    <t>CS_Del_4</t>
  </si>
  <si>
    <t>CS_Nol_49</t>
  </si>
  <si>
    <t>CS_Hun_29</t>
  </si>
  <si>
    <t>CS_Liv_35</t>
  </si>
  <si>
    <t>CS_Far_38</t>
  </si>
  <si>
    <t>CS_Har_3</t>
  </si>
  <si>
    <t>CS_Ate_41</t>
  </si>
  <si>
    <t>CS_Jar_24</t>
  </si>
  <si>
    <t>CS_Smi_10</t>
  </si>
  <si>
    <t>Product_Id</t>
  </si>
  <si>
    <t>units_sold</t>
  </si>
  <si>
    <t>Total_Amount</t>
  </si>
  <si>
    <t>Store_ID</t>
  </si>
  <si>
    <t>City</t>
  </si>
  <si>
    <t>State</t>
  </si>
  <si>
    <t>Location</t>
  </si>
  <si>
    <t>Georgia</t>
  </si>
  <si>
    <t>Florida</t>
  </si>
  <si>
    <t>Maryland</t>
  </si>
  <si>
    <t>North Carolina</t>
  </si>
  <si>
    <t>East Coast</t>
  </si>
  <si>
    <t>Michigan</t>
  </si>
  <si>
    <t>Ohio</t>
  </si>
  <si>
    <t>Indiana</t>
  </si>
  <si>
    <t xml:space="preserve"> Arizona</t>
  </si>
  <si>
    <t xml:space="preserve"> New Mexico</t>
  </si>
  <si>
    <t>Oklahoma</t>
  </si>
  <si>
    <t>Texas</t>
  </si>
  <si>
    <t>Southwest</t>
  </si>
  <si>
    <t>California</t>
  </si>
  <si>
    <t>Nevada</t>
  </si>
  <si>
    <t>Washington</t>
  </si>
  <si>
    <t>Far West</t>
  </si>
  <si>
    <t>Atlanta</t>
  </si>
  <si>
    <t>Miami</t>
  </si>
  <si>
    <t>Baltimore</t>
  </si>
  <si>
    <t>Charlotte</t>
  </si>
  <si>
    <t>Detroit</t>
  </si>
  <si>
    <t>Columbus</t>
  </si>
  <si>
    <t>Indianapolis</t>
  </si>
  <si>
    <t>Phoenix</t>
  </si>
  <si>
    <t>Albuquerque</t>
  </si>
  <si>
    <t>Oklahoma City</t>
  </si>
  <si>
    <t>Houston</t>
  </si>
  <si>
    <t>Los Angeles</t>
  </si>
  <si>
    <t>Las Vegas</t>
  </si>
  <si>
    <t>Seattle</t>
  </si>
  <si>
    <t>city</t>
  </si>
  <si>
    <t>St_Alb_ N</t>
  </si>
  <si>
    <t>St_Det_Mi</t>
  </si>
  <si>
    <t>St_Las_Ne</t>
  </si>
  <si>
    <t>St_Bal_Ma</t>
  </si>
  <si>
    <t>St_Mia_Fl</t>
  </si>
  <si>
    <t>St_Atl_Ge</t>
  </si>
  <si>
    <t>St_Hou_Te</t>
  </si>
  <si>
    <t>St_Col_Oh</t>
  </si>
  <si>
    <t>St_Los_Ca</t>
  </si>
  <si>
    <t>St_Pho_ A</t>
  </si>
  <si>
    <t>St_Cha_No</t>
  </si>
  <si>
    <t>St_Ind_In</t>
  </si>
  <si>
    <t>St_Okl_Ok</t>
  </si>
  <si>
    <t>St_Sea_Wa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</si>
</sst>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1CB5-C48E-48EC-AC64-C670FF79A5CF}">
  <dimension ref="A1:I2000"/>
  <sheetViews>
    <sheetView workbookViewId="0">
      <selection activeCell="C2" sqref="C2"/>
    </sheetView>
  </sheetViews>
  <sheetFormatPr defaultRowHeight="15" x14ac:dyDescent="0.25"/>
  <cols>
    <col min="1" max="1" width="25.5703125" style="3" customWidth="1"/>
    <col min="2" max="2" width="16.5703125" customWidth="1"/>
    <col min="3" max="3" width="13.42578125" customWidth="1"/>
    <col min="4" max="4" width="13.140625" customWidth="1"/>
    <col min="6" max="6" width="18.140625" style="6" customWidth="1"/>
    <col min="7" max="7" width="14.28515625" customWidth="1"/>
  </cols>
  <sheetData>
    <row r="1" spans="1:9" x14ac:dyDescent="0.25">
      <c r="A1" s="5" t="s">
        <v>0</v>
      </c>
      <c r="B1" s="4" t="s">
        <v>1</v>
      </c>
      <c r="C1" s="1" t="s">
        <v>305</v>
      </c>
      <c r="D1" s="1" t="s">
        <v>356</v>
      </c>
      <c r="E1" s="1" t="s">
        <v>357</v>
      </c>
      <c r="F1" s="8" t="s">
        <v>358</v>
      </c>
      <c r="G1" s="1" t="s">
        <v>359</v>
      </c>
    </row>
    <row r="2" spans="1:9" x14ac:dyDescent="0.25">
      <c r="A2" s="3">
        <v>44431</v>
      </c>
      <c r="B2" s="2" t="str">
        <f>"sa-"&amp;DAY(A2)&amp;"-"&amp;MONTH(A2)</f>
        <v>sa-23-8</v>
      </c>
      <c r="C2" t="s">
        <v>307</v>
      </c>
      <c r="D2" t="s">
        <v>8</v>
      </c>
      <c r="E2">
        <v>5</v>
      </c>
      <c r="F2" s="6">
        <f>VLOOKUP(D2,Products!A$2:C$101,3,FALSE)*E2</f>
        <v>315</v>
      </c>
      <c r="G2" t="s">
        <v>404</v>
      </c>
    </row>
    <row r="3" spans="1:9" x14ac:dyDescent="0.25">
      <c r="A3" s="3">
        <v>44577</v>
      </c>
      <c r="B3" s="2" t="str">
        <f t="shared" ref="B3:B66" si="0">"sa-"&amp;DAY(A3)&amp;"-"&amp;MONTH(A3)</f>
        <v>sa-16-1</v>
      </c>
      <c r="C3" t="s">
        <v>308</v>
      </c>
      <c r="D3" t="s">
        <v>74</v>
      </c>
      <c r="E3">
        <v>4</v>
      </c>
      <c r="F3" s="6">
        <f>VLOOKUP(D3,Products!A$2:C$101,3,FALSE)*E3</f>
        <v>136</v>
      </c>
      <c r="G3" t="s">
        <v>397</v>
      </c>
    </row>
    <row r="4" spans="1:9" x14ac:dyDescent="0.25">
      <c r="A4" s="3">
        <v>44396</v>
      </c>
      <c r="B4" s="2" t="str">
        <f t="shared" si="0"/>
        <v>sa-19-7</v>
      </c>
      <c r="C4" t="s">
        <v>308</v>
      </c>
      <c r="D4" t="s">
        <v>38</v>
      </c>
      <c r="E4">
        <v>4</v>
      </c>
      <c r="F4" s="6">
        <f>VLOOKUP(D4,Products!A$2:C$101,3,FALSE)*E4</f>
        <v>128</v>
      </c>
      <c r="G4" t="s">
        <v>397</v>
      </c>
    </row>
    <row r="5" spans="1:9" x14ac:dyDescent="0.25">
      <c r="A5" s="3">
        <v>44650</v>
      </c>
      <c r="B5" s="2" t="str">
        <f t="shared" si="0"/>
        <v>sa-30-3</v>
      </c>
      <c r="C5" t="s">
        <v>309</v>
      </c>
      <c r="D5" t="s">
        <v>83</v>
      </c>
      <c r="E5">
        <v>2</v>
      </c>
      <c r="F5" s="6">
        <f>VLOOKUP(D5,Products!A$2:C$101,3,FALSE)*E5</f>
        <v>60</v>
      </c>
      <c r="G5" t="s">
        <v>397</v>
      </c>
      <c r="I5" s="7"/>
    </row>
    <row r="6" spans="1:9" x14ac:dyDescent="0.25">
      <c r="A6" s="3">
        <v>44590</v>
      </c>
      <c r="B6" s="2" t="str">
        <f t="shared" si="0"/>
        <v>sa-29-1</v>
      </c>
      <c r="C6" t="s">
        <v>310</v>
      </c>
      <c r="D6" t="s">
        <v>86</v>
      </c>
      <c r="E6">
        <v>5</v>
      </c>
      <c r="F6" s="6">
        <f>VLOOKUP(D6,Products!A$2:C$101,3,FALSE)*E6</f>
        <v>170</v>
      </c>
      <c r="G6" t="s">
        <v>400</v>
      </c>
      <c r="I6" s="7"/>
    </row>
    <row r="7" spans="1:9" x14ac:dyDescent="0.25">
      <c r="A7" s="3">
        <v>44187</v>
      </c>
      <c r="B7" s="2" t="str">
        <f t="shared" si="0"/>
        <v>sa-22-12</v>
      </c>
      <c r="C7" t="s">
        <v>311</v>
      </c>
      <c r="D7" t="s">
        <v>31</v>
      </c>
      <c r="E7">
        <v>5</v>
      </c>
      <c r="F7" s="6">
        <f>VLOOKUP(D7,Products!A$2:C$101,3,FALSE)*E7</f>
        <v>160</v>
      </c>
      <c r="G7" t="s">
        <v>401</v>
      </c>
      <c r="I7" s="7"/>
    </row>
    <row r="8" spans="1:9" x14ac:dyDescent="0.25">
      <c r="A8" s="3">
        <v>44073</v>
      </c>
      <c r="B8" s="2" t="str">
        <f t="shared" si="0"/>
        <v>sa-30-8</v>
      </c>
      <c r="C8" t="s">
        <v>312</v>
      </c>
      <c r="D8" t="s">
        <v>38</v>
      </c>
      <c r="E8">
        <v>6</v>
      </c>
      <c r="F8" s="6">
        <f>VLOOKUP(D8,Products!A$2:C$101,3,FALSE)*E8</f>
        <v>192</v>
      </c>
      <c r="G8" t="s">
        <v>396</v>
      </c>
      <c r="I8" s="7"/>
    </row>
    <row r="9" spans="1:9" x14ac:dyDescent="0.25">
      <c r="A9" s="3">
        <v>44220</v>
      </c>
      <c r="B9" s="2" t="str">
        <f t="shared" si="0"/>
        <v>sa-24-1</v>
      </c>
      <c r="C9" t="s">
        <v>313</v>
      </c>
      <c r="D9" t="s">
        <v>32</v>
      </c>
      <c r="E9">
        <v>5</v>
      </c>
      <c r="F9" s="6">
        <f>VLOOKUP(D9,Products!A$2:C$101,3,FALSE)*E9</f>
        <v>170</v>
      </c>
      <c r="G9" t="s">
        <v>405</v>
      </c>
      <c r="I9" s="7"/>
    </row>
    <row r="10" spans="1:9" x14ac:dyDescent="0.25">
      <c r="A10" s="3">
        <v>44401</v>
      </c>
      <c r="B10" s="2" t="str">
        <f t="shared" si="0"/>
        <v>sa-24-7</v>
      </c>
      <c r="C10" t="s">
        <v>314</v>
      </c>
      <c r="D10" t="s">
        <v>67</v>
      </c>
      <c r="E10">
        <v>3</v>
      </c>
      <c r="F10" s="6">
        <f>VLOOKUP(D10,Products!A$2:C$101,3,FALSE)*E10</f>
        <v>96</v>
      </c>
      <c r="G10" t="s">
        <v>404</v>
      </c>
      <c r="I10" s="7"/>
    </row>
    <row r="11" spans="1:9" x14ac:dyDescent="0.25">
      <c r="A11" s="3">
        <v>44716</v>
      </c>
      <c r="B11" s="2" t="str">
        <f t="shared" si="0"/>
        <v>sa-4-6</v>
      </c>
      <c r="C11" t="s">
        <v>315</v>
      </c>
      <c r="D11" t="s">
        <v>33</v>
      </c>
      <c r="E11">
        <v>6</v>
      </c>
      <c r="F11" s="6">
        <f>VLOOKUP(D11,Products!A$2:C$101,3,FALSE)*E11</f>
        <v>198</v>
      </c>
      <c r="G11" t="s">
        <v>406</v>
      </c>
      <c r="I11" s="7"/>
    </row>
    <row r="12" spans="1:9" x14ac:dyDescent="0.25">
      <c r="A12" s="3">
        <v>43914</v>
      </c>
      <c r="B12" s="2" t="str">
        <f t="shared" si="0"/>
        <v>sa-24-3</v>
      </c>
      <c r="C12" t="s">
        <v>316</v>
      </c>
      <c r="D12" t="s">
        <v>99</v>
      </c>
      <c r="E12">
        <v>4</v>
      </c>
      <c r="F12" s="6">
        <f>VLOOKUP(D12,Products!A$2:C$101,3,FALSE)*E12</f>
        <v>60</v>
      </c>
      <c r="G12" t="s">
        <v>396</v>
      </c>
    </row>
    <row r="13" spans="1:9" x14ac:dyDescent="0.25">
      <c r="A13" s="3">
        <v>44418</v>
      </c>
      <c r="B13" s="2" t="str">
        <f t="shared" si="0"/>
        <v>sa-10-8</v>
      </c>
      <c r="C13" t="s">
        <v>317</v>
      </c>
      <c r="D13" t="s">
        <v>26</v>
      </c>
      <c r="E13">
        <v>2</v>
      </c>
      <c r="F13" s="6">
        <f>VLOOKUP(D13,Products!A$2:C$101,3,FALSE)*E13</f>
        <v>66</v>
      </c>
      <c r="G13" t="s">
        <v>407</v>
      </c>
    </row>
    <row r="14" spans="1:9" x14ac:dyDescent="0.25">
      <c r="A14" s="3">
        <v>44301</v>
      </c>
      <c r="B14" s="2" t="str">
        <f t="shared" si="0"/>
        <v>sa-15-4</v>
      </c>
      <c r="C14" t="s">
        <v>318</v>
      </c>
      <c r="D14" t="s">
        <v>82</v>
      </c>
      <c r="E14">
        <v>5</v>
      </c>
      <c r="F14" s="6">
        <f>VLOOKUP(D14,Products!A$2:C$101,3,FALSE)*E14</f>
        <v>160</v>
      </c>
      <c r="G14" t="s">
        <v>396</v>
      </c>
    </row>
    <row r="15" spans="1:9" x14ac:dyDescent="0.25">
      <c r="A15" s="3">
        <v>44416</v>
      </c>
      <c r="B15" s="2" t="str">
        <f t="shared" si="0"/>
        <v>sa-8-8</v>
      </c>
      <c r="C15" t="s">
        <v>319</v>
      </c>
      <c r="D15" t="s">
        <v>85</v>
      </c>
      <c r="E15">
        <v>6</v>
      </c>
      <c r="F15" s="6">
        <f>VLOOKUP(D15,Products!A$2:C$101,3,FALSE)*E15</f>
        <v>198</v>
      </c>
      <c r="G15" t="s">
        <v>396</v>
      </c>
    </row>
    <row r="16" spans="1:9" x14ac:dyDescent="0.25">
      <c r="A16" s="3">
        <v>43995</v>
      </c>
      <c r="B16" s="2" t="str">
        <f t="shared" si="0"/>
        <v>sa-13-6</v>
      </c>
      <c r="C16" t="s">
        <v>320</v>
      </c>
      <c r="D16" t="s">
        <v>96</v>
      </c>
      <c r="E16">
        <v>3</v>
      </c>
      <c r="F16" s="6">
        <f>VLOOKUP(D16,Products!A$2:C$101,3,FALSE)*E16</f>
        <v>30</v>
      </c>
      <c r="G16" t="s">
        <v>401</v>
      </c>
    </row>
    <row r="17" spans="1:7" x14ac:dyDescent="0.25">
      <c r="A17" s="3">
        <v>44328</v>
      </c>
      <c r="B17" s="2" t="str">
        <f t="shared" si="0"/>
        <v>sa-12-5</v>
      </c>
      <c r="C17" t="s">
        <v>321</v>
      </c>
      <c r="D17" t="s">
        <v>8</v>
      </c>
      <c r="E17">
        <v>2</v>
      </c>
      <c r="F17" s="6">
        <f>VLOOKUP(D17,Products!A$2:C$101,3,FALSE)*E17</f>
        <v>126</v>
      </c>
      <c r="G17" t="s">
        <v>404</v>
      </c>
    </row>
    <row r="18" spans="1:7" x14ac:dyDescent="0.25">
      <c r="A18" s="3">
        <v>44144</v>
      </c>
      <c r="B18" s="2" t="str">
        <f t="shared" si="0"/>
        <v>sa-9-11</v>
      </c>
      <c r="C18" t="s">
        <v>322</v>
      </c>
      <c r="D18" t="s">
        <v>97</v>
      </c>
      <c r="E18">
        <v>4</v>
      </c>
      <c r="F18" s="6">
        <f>VLOOKUP(D18,Products!A$2:C$101,3,FALSE)*E18</f>
        <v>40</v>
      </c>
      <c r="G18" t="s">
        <v>405</v>
      </c>
    </row>
    <row r="19" spans="1:7" x14ac:dyDescent="0.25">
      <c r="A19" s="3">
        <v>43852</v>
      </c>
      <c r="B19" s="2" t="str">
        <f t="shared" si="0"/>
        <v>sa-22-1</v>
      </c>
      <c r="C19" t="s">
        <v>309</v>
      </c>
      <c r="D19" t="s">
        <v>84</v>
      </c>
      <c r="E19">
        <v>5</v>
      </c>
      <c r="F19" s="6">
        <f>VLOOKUP(D19,Products!A$2:C$101,3,FALSE)*E19</f>
        <v>175</v>
      </c>
      <c r="G19" t="s">
        <v>406</v>
      </c>
    </row>
    <row r="20" spans="1:7" x14ac:dyDescent="0.25">
      <c r="A20" s="3">
        <v>43940</v>
      </c>
      <c r="B20" s="2" t="str">
        <f t="shared" si="0"/>
        <v>sa-19-4</v>
      </c>
      <c r="C20" t="s">
        <v>319</v>
      </c>
      <c r="D20" t="s">
        <v>73</v>
      </c>
      <c r="E20">
        <v>5</v>
      </c>
      <c r="F20" s="6">
        <f>VLOOKUP(D20,Products!A$2:C$101,3,FALSE)*E20</f>
        <v>175</v>
      </c>
      <c r="G20" t="s">
        <v>403</v>
      </c>
    </row>
    <row r="21" spans="1:7" x14ac:dyDescent="0.25">
      <c r="A21" s="3">
        <v>44202</v>
      </c>
      <c r="B21" s="2" t="str">
        <f t="shared" si="0"/>
        <v>sa-6-1</v>
      </c>
      <c r="C21" t="s">
        <v>323</v>
      </c>
      <c r="D21" t="s">
        <v>43</v>
      </c>
      <c r="E21">
        <v>4</v>
      </c>
      <c r="F21" s="6">
        <f>VLOOKUP(D21,Products!A$2:C$101,3,FALSE)*E21</f>
        <v>132</v>
      </c>
      <c r="G21" t="s">
        <v>401</v>
      </c>
    </row>
    <row r="22" spans="1:7" x14ac:dyDescent="0.25">
      <c r="A22" s="3">
        <v>44226</v>
      </c>
      <c r="B22" s="2" t="str">
        <f t="shared" si="0"/>
        <v>sa-30-1</v>
      </c>
      <c r="C22" t="s">
        <v>324</v>
      </c>
      <c r="D22" t="s">
        <v>49</v>
      </c>
      <c r="E22">
        <v>6</v>
      </c>
      <c r="F22" s="6">
        <f>VLOOKUP(D22,Products!A$2:C$101,3,FALSE)*E22</f>
        <v>198</v>
      </c>
      <c r="G22" t="s">
        <v>398</v>
      </c>
    </row>
    <row r="23" spans="1:7" x14ac:dyDescent="0.25">
      <c r="A23" s="3">
        <v>44389</v>
      </c>
      <c r="B23" s="2" t="str">
        <f t="shared" si="0"/>
        <v>sa-12-7</v>
      </c>
      <c r="C23" t="s">
        <v>325</v>
      </c>
      <c r="D23" t="s">
        <v>78</v>
      </c>
      <c r="E23">
        <v>4</v>
      </c>
      <c r="F23" s="6">
        <f>VLOOKUP(D23,Products!A$2:C$101,3,FALSE)*E23</f>
        <v>136</v>
      </c>
      <c r="G23" t="s">
        <v>397</v>
      </c>
    </row>
    <row r="24" spans="1:7" x14ac:dyDescent="0.25">
      <c r="A24" s="3">
        <v>44517</v>
      </c>
      <c r="B24" s="2" t="str">
        <f t="shared" si="0"/>
        <v>sa-17-11</v>
      </c>
      <c r="C24" t="s">
        <v>326</v>
      </c>
      <c r="D24" t="s">
        <v>76</v>
      </c>
      <c r="E24">
        <v>2</v>
      </c>
      <c r="F24" s="6">
        <f>VLOOKUP(D24,Products!A$2:C$101,3,FALSE)*E24</f>
        <v>68</v>
      </c>
      <c r="G24" t="s">
        <v>405</v>
      </c>
    </row>
    <row r="25" spans="1:7" x14ac:dyDescent="0.25">
      <c r="A25" s="3">
        <v>43890</v>
      </c>
      <c r="B25" s="2" t="str">
        <f t="shared" si="0"/>
        <v>sa-29-2</v>
      </c>
      <c r="C25" t="s">
        <v>325</v>
      </c>
      <c r="D25" t="s">
        <v>31</v>
      </c>
      <c r="E25">
        <v>2</v>
      </c>
      <c r="F25" s="6">
        <f>VLOOKUP(D25,Products!A$2:C$101,3,FALSE)*E25</f>
        <v>64</v>
      </c>
      <c r="G25" t="s">
        <v>400</v>
      </c>
    </row>
    <row r="26" spans="1:7" x14ac:dyDescent="0.25">
      <c r="A26" s="3">
        <v>44687</v>
      </c>
      <c r="B26" s="2" t="str">
        <f t="shared" si="0"/>
        <v>sa-6-5</v>
      </c>
      <c r="C26" t="s">
        <v>316</v>
      </c>
      <c r="D26" t="s">
        <v>37</v>
      </c>
      <c r="E26">
        <v>3</v>
      </c>
      <c r="F26" s="6">
        <f>VLOOKUP(D26,Products!A$2:C$101,3,FALSE)*E26</f>
        <v>99</v>
      </c>
      <c r="G26" t="s">
        <v>406</v>
      </c>
    </row>
    <row r="27" spans="1:7" x14ac:dyDescent="0.25">
      <c r="A27" s="3">
        <v>44237</v>
      </c>
      <c r="B27" s="2" t="str">
        <f t="shared" si="0"/>
        <v>sa-10-2</v>
      </c>
      <c r="C27" t="s">
        <v>327</v>
      </c>
      <c r="D27" t="s">
        <v>46</v>
      </c>
      <c r="E27">
        <v>3</v>
      </c>
      <c r="F27" s="6">
        <f>VLOOKUP(D27,Products!A$2:C$101,3,FALSE)*E27</f>
        <v>90</v>
      </c>
      <c r="G27" t="s">
        <v>408</v>
      </c>
    </row>
    <row r="28" spans="1:7" x14ac:dyDescent="0.25">
      <c r="A28" s="3">
        <v>43954</v>
      </c>
      <c r="B28" s="2" t="str">
        <f t="shared" si="0"/>
        <v>sa-3-5</v>
      </c>
      <c r="C28" t="s">
        <v>328</v>
      </c>
      <c r="D28" t="s">
        <v>19</v>
      </c>
      <c r="E28">
        <v>2</v>
      </c>
      <c r="F28" s="6">
        <f>VLOOKUP(D28,Products!A$2:C$101,3,FALSE)*E28</f>
        <v>66</v>
      </c>
      <c r="G28" t="s">
        <v>402</v>
      </c>
    </row>
    <row r="29" spans="1:7" x14ac:dyDescent="0.25">
      <c r="A29" s="3">
        <v>44135</v>
      </c>
      <c r="B29" s="2" t="str">
        <f t="shared" si="0"/>
        <v>sa-31-10</v>
      </c>
      <c r="C29" t="s">
        <v>329</v>
      </c>
      <c r="D29" t="s">
        <v>26</v>
      </c>
      <c r="E29">
        <v>4</v>
      </c>
      <c r="F29" s="6">
        <f>VLOOKUP(D29,Products!A$2:C$101,3,FALSE)*E29</f>
        <v>132</v>
      </c>
      <c r="G29" t="s">
        <v>406</v>
      </c>
    </row>
    <row r="30" spans="1:7" x14ac:dyDescent="0.25">
      <c r="A30" s="3">
        <v>44581</v>
      </c>
      <c r="B30" s="2" t="str">
        <f t="shared" si="0"/>
        <v>sa-20-1</v>
      </c>
      <c r="C30" t="s">
        <v>313</v>
      </c>
      <c r="D30" t="s">
        <v>54</v>
      </c>
      <c r="E30">
        <v>5</v>
      </c>
      <c r="F30" s="6">
        <f>VLOOKUP(D30,Products!A$2:C$101,3,FALSE)*E30</f>
        <v>175</v>
      </c>
      <c r="G30" t="s">
        <v>405</v>
      </c>
    </row>
    <row r="31" spans="1:7" x14ac:dyDescent="0.25">
      <c r="A31" s="3">
        <v>44189</v>
      </c>
      <c r="B31" s="2" t="str">
        <f t="shared" si="0"/>
        <v>sa-24-12</v>
      </c>
      <c r="C31" t="s">
        <v>329</v>
      </c>
      <c r="D31" t="s">
        <v>15</v>
      </c>
      <c r="E31">
        <v>6</v>
      </c>
      <c r="F31" s="6">
        <f>VLOOKUP(D31,Products!A$2:C$101,3,FALSE)*E31</f>
        <v>210</v>
      </c>
      <c r="G31" t="s">
        <v>397</v>
      </c>
    </row>
    <row r="32" spans="1:7" x14ac:dyDescent="0.25">
      <c r="A32" s="3">
        <v>44462</v>
      </c>
      <c r="B32" s="2" t="str">
        <f t="shared" si="0"/>
        <v>sa-23-9</v>
      </c>
      <c r="C32" t="s">
        <v>323</v>
      </c>
      <c r="D32" t="s">
        <v>12</v>
      </c>
      <c r="E32">
        <v>4</v>
      </c>
      <c r="F32" s="6">
        <f>VLOOKUP(D32,Products!A$2:C$101,3,FALSE)*E32</f>
        <v>296</v>
      </c>
      <c r="G32" t="s">
        <v>402</v>
      </c>
    </row>
    <row r="33" spans="1:7" x14ac:dyDescent="0.25">
      <c r="A33" s="3">
        <v>44000</v>
      </c>
      <c r="B33" s="2" t="str">
        <f t="shared" si="0"/>
        <v>sa-18-6</v>
      </c>
      <c r="C33" t="s">
        <v>330</v>
      </c>
      <c r="D33" t="s">
        <v>34</v>
      </c>
      <c r="E33">
        <v>5</v>
      </c>
      <c r="F33" s="6">
        <f>VLOOKUP(D33,Products!A$2:C$101,3,FALSE)*E33</f>
        <v>175</v>
      </c>
      <c r="G33" t="s">
        <v>395</v>
      </c>
    </row>
    <row r="34" spans="1:7" x14ac:dyDescent="0.25">
      <c r="A34" s="3">
        <v>44429</v>
      </c>
      <c r="B34" s="2" t="str">
        <f t="shared" si="0"/>
        <v>sa-21-8</v>
      </c>
      <c r="C34" t="s">
        <v>331</v>
      </c>
      <c r="D34" t="s">
        <v>4</v>
      </c>
      <c r="E34">
        <v>6</v>
      </c>
      <c r="F34" s="6">
        <f>VLOOKUP(D34,Products!A$2:C$101,3,FALSE)*E34</f>
        <v>426</v>
      </c>
      <c r="G34" t="s">
        <v>396</v>
      </c>
    </row>
    <row r="35" spans="1:7" x14ac:dyDescent="0.25">
      <c r="A35" s="3">
        <v>44433</v>
      </c>
      <c r="B35" s="2" t="str">
        <f t="shared" si="0"/>
        <v>sa-25-8</v>
      </c>
      <c r="C35" t="s">
        <v>332</v>
      </c>
      <c r="D35" t="s">
        <v>95</v>
      </c>
      <c r="E35">
        <v>6</v>
      </c>
      <c r="F35" s="6">
        <f>VLOOKUP(D35,Products!A$2:C$101,3,FALSE)*E35</f>
        <v>72</v>
      </c>
      <c r="G35" t="s">
        <v>397</v>
      </c>
    </row>
    <row r="36" spans="1:7" x14ac:dyDescent="0.25">
      <c r="A36" s="3">
        <v>44157</v>
      </c>
      <c r="B36" s="2" t="str">
        <f t="shared" si="0"/>
        <v>sa-22-11</v>
      </c>
      <c r="C36" t="s">
        <v>331</v>
      </c>
      <c r="D36" t="s">
        <v>17</v>
      </c>
      <c r="E36">
        <v>3</v>
      </c>
      <c r="F36" s="6">
        <f>VLOOKUP(D36,Products!A$2:C$101,3,FALSE)*E36</f>
        <v>96</v>
      </c>
      <c r="G36" t="s">
        <v>397</v>
      </c>
    </row>
    <row r="37" spans="1:7" x14ac:dyDescent="0.25">
      <c r="A37" s="3">
        <v>44513</v>
      </c>
      <c r="B37" s="2" t="str">
        <f t="shared" si="0"/>
        <v>sa-13-11</v>
      </c>
      <c r="C37" t="s">
        <v>313</v>
      </c>
      <c r="D37" t="s">
        <v>56</v>
      </c>
      <c r="E37">
        <v>4</v>
      </c>
      <c r="F37" s="6">
        <f>VLOOKUP(D37,Products!A$2:C$101,3,FALSE)*E37</f>
        <v>120</v>
      </c>
      <c r="G37" t="s">
        <v>399</v>
      </c>
    </row>
    <row r="38" spans="1:7" x14ac:dyDescent="0.25">
      <c r="A38" s="3">
        <v>43995</v>
      </c>
      <c r="B38" s="2" t="str">
        <f t="shared" si="0"/>
        <v>sa-13-6</v>
      </c>
      <c r="C38" t="s">
        <v>327</v>
      </c>
      <c r="D38" t="s">
        <v>18</v>
      </c>
      <c r="E38">
        <v>3</v>
      </c>
      <c r="F38" s="6">
        <f>VLOOKUP(D38,Products!A$2:C$101,3,FALSE)*E38</f>
        <v>105</v>
      </c>
      <c r="G38" t="s">
        <v>396</v>
      </c>
    </row>
    <row r="39" spans="1:7" x14ac:dyDescent="0.25">
      <c r="A39" s="3">
        <v>44208</v>
      </c>
      <c r="B39" s="2" t="str">
        <f t="shared" si="0"/>
        <v>sa-12-1</v>
      </c>
      <c r="C39" t="s">
        <v>333</v>
      </c>
      <c r="D39" t="s">
        <v>98</v>
      </c>
      <c r="E39">
        <v>6</v>
      </c>
      <c r="F39" s="6">
        <f>VLOOKUP(D39,Products!A$2:C$101,3,FALSE)*E39</f>
        <v>114</v>
      </c>
      <c r="G39" t="s">
        <v>400</v>
      </c>
    </row>
    <row r="40" spans="1:7" x14ac:dyDescent="0.25">
      <c r="A40" s="3">
        <v>44144</v>
      </c>
      <c r="B40" s="2" t="str">
        <f t="shared" si="0"/>
        <v>sa-9-11</v>
      </c>
      <c r="C40" t="s">
        <v>334</v>
      </c>
      <c r="D40" t="s">
        <v>95</v>
      </c>
      <c r="E40">
        <v>3</v>
      </c>
      <c r="F40" s="6">
        <f>VLOOKUP(D40,Products!A$2:C$101,3,FALSE)*E40</f>
        <v>36</v>
      </c>
      <c r="G40" t="s">
        <v>407</v>
      </c>
    </row>
    <row r="41" spans="1:7" x14ac:dyDescent="0.25">
      <c r="A41" s="3">
        <v>44223</v>
      </c>
      <c r="B41" s="2" t="str">
        <f t="shared" si="0"/>
        <v>sa-27-1</v>
      </c>
      <c r="C41" t="s">
        <v>321</v>
      </c>
      <c r="D41" t="s">
        <v>40</v>
      </c>
      <c r="E41">
        <v>3</v>
      </c>
      <c r="F41" s="6">
        <f>VLOOKUP(D41,Products!A$2:C$101,3,FALSE)*E41</f>
        <v>102</v>
      </c>
      <c r="G41" t="s">
        <v>408</v>
      </c>
    </row>
    <row r="42" spans="1:7" x14ac:dyDescent="0.25">
      <c r="A42" s="3">
        <v>43962</v>
      </c>
      <c r="B42" s="2" t="str">
        <f t="shared" si="0"/>
        <v>sa-11-5</v>
      </c>
      <c r="C42" t="s">
        <v>316</v>
      </c>
      <c r="D42" t="s">
        <v>16</v>
      </c>
      <c r="E42">
        <v>2</v>
      </c>
      <c r="F42" s="6">
        <f>VLOOKUP(D42,Products!A$2:C$101,3,FALSE)*E42</f>
        <v>60</v>
      </c>
      <c r="G42" t="s">
        <v>401</v>
      </c>
    </row>
    <row r="43" spans="1:7" x14ac:dyDescent="0.25">
      <c r="A43" s="3">
        <v>44373</v>
      </c>
      <c r="B43" s="2" t="str">
        <f t="shared" si="0"/>
        <v>sa-26-6</v>
      </c>
      <c r="C43" t="s">
        <v>326</v>
      </c>
      <c r="D43" t="s">
        <v>59</v>
      </c>
      <c r="E43">
        <v>4</v>
      </c>
      <c r="F43" s="6">
        <f>VLOOKUP(D43,Products!A$2:C$101,3,FALSE)*E43</f>
        <v>140</v>
      </c>
      <c r="G43" t="s">
        <v>405</v>
      </c>
    </row>
    <row r="44" spans="1:7" x14ac:dyDescent="0.25">
      <c r="A44" s="3">
        <v>44211</v>
      </c>
      <c r="B44" s="2" t="str">
        <f t="shared" si="0"/>
        <v>sa-15-1</v>
      </c>
      <c r="C44" t="s">
        <v>335</v>
      </c>
      <c r="D44" t="s">
        <v>10</v>
      </c>
      <c r="E44">
        <v>3</v>
      </c>
      <c r="F44" s="6">
        <f>VLOOKUP(D44,Products!A$2:C$101,3,FALSE)*E44</f>
        <v>216</v>
      </c>
      <c r="G44" t="s">
        <v>406</v>
      </c>
    </row>
    <row r="45" spans="1:7" x14ac:dyDescent="0.25">
      <c r="A45" s="3">
        <v>43834</v>
      </c>
      <c r="B45" s="2" t="str">
        <f t="shared" si="0"/>
        <v>sa-4-1</v>
      </c>
      <c r="C45" t="s">
        <v>336</v>
      </c>
      <c r="D45" t="s">
        <v>47</v>
      </c>
      <c r="E45">
        <v>5</v>
      </c>
      <c r="F45" s="6">
        <f>VLOOKUP(D45,Products!A$2:C$101,3,FALSE)*E45</f>
        <v>160</v>
      </c>
      <c r="G45" t="s">
        <v>408</v>
      </c>
    </row>
    <row r="46" spans="1:7" x14ac:dyDescent="0.25">
      <c r="A46" s="3">
        <v>43916</v>
      </c>
      <c r="B46" s="2" t="str">
        <f t="shared" si="0"/>
        <v>sa-26-3</v>
      </c>
      <c r="C46" t="s">
        <v>317</v>
      </c>
      <c r="D46" t="s">
        <v>12</v>
      </c>
      <c r="E46">
        <v>3</v>
      </c>
      <c r="F46" s="6">
        <f>VLOOKUP(D46,Products!A$2:C$101,3,FALSE)*E46</f>
        <v>222</v>
      </c>
      <c r="G46" t="s">
        <v>406</v>
      </c>
    </row>
    <row r="47" spans="1:7" x14ac:dyDescent="0.25">
      <c r="A47" s="3">
        <v>44023</v>
      </c>
      <c r="B47" s="2" t="str">
        <f t="shared" si="0"/>
        <v>sa-11-7</v>
      </c>
      <c r="C47" t="s">
        <v>333</v>
      </c>
      <c r="D47" t="s">
        <v>38</v>
      </c>
      <c r="E47">
        <v>2</v>
      </c>
      <c r="F47" s="6">
        <f>VLOOKUP(D47,Products!A$2:C$101,3,FALSE)*E47</f>
        <v>64</v>
      </c>
      <c r="G47" t="s">
        <v>402</v>
      </c>
    </row>
    <row r="48" spans="1:7" x14ac:dyDescent="0.25">
      <c r="A48" s="3">
        <v>44644</v>
      </c>
      <c r="B48" s="2" t="str">
        <f t="shared" si="0"/>
        <v>sa-24-3</v>
      </c>
      <c r="C48" t="s">
        <v>323</v>
      </c>
      <c r="D48" t="s">
        <v>79</v>
      </c>
      <c r="E48">
        <v>2</v>
      </c>
      <c r="F48" s="6">
        <f>VLOOKUP(D48,Products!A$2:C$101,3,FALSE)*E48</f>
        <v>68</v>
      </c>
      <c r="G48" t="s">
        <v>398</v>
      </c>
    </row>
    <row r="49" spans="1:7" x14ac:dyDescent="0.25">
      <c r="A49" s="3">
        <v>44708</v>
      </c>
      <c r="B49" s="2" t="str">
        <f t="shared" si="0"/>
        <v>sa-27-5</v>
      </c>
      <c r="C49" t="s">
        <v>321</v>
      </c>
      <c r="D49" t="s">
        <v>87</v>
      </c>
      <c r="E49">
        <v>4</v>
      </c>
      <c r="F49" s="6">
        <f>VLOOKUP(D49,Products!A$2:C$101,3,FALSE)*E49</f>
        <v>52</v>
      </c>
      <c r="G49" t="s">
        <v>400</v>
      </c>
    </row>
    <row r="50" spans="1:7" x14ac:dyDescent="0.25">
      <c r="A50" s="3">
        <v>44310</v>
      </c>
      <c r="B50" s="2" t="str">
        <f t="shared" si="0"/>
        <v>sa-24-4</v>
      </c>
      <c r="C50" t="s">
        <v>337</v>
      </c>
      <c r="D50" t="s">
        <v>65</v>
      </c>
      <c r="E50">
        <v>3</v>
      </c>
      <c r="F50" s="6">
        <f>VLOOKUP(D50,Products!A$2:C$101,3,FALSE)*E50</f>
        <v>96</v>
      </c>
      <c r="G50" t="s">
        <v>401</v>
      </c>
    </row>
    <row r="51" spans="1:7" x14ac:dyDescent="0.25">
      <c r="A51" s="3">
        <v>44099</v>
      </c>
      <c r="B51" s="2" t="str">
        <f t="shared" si="0"/>
        <v>sa-25-9</v>
      </c>
      <c r="C51" t="s">
        <v>311</v>
      </c>
      <c r="D51" t="s">
        <v>92</v>
      </c>
      <c r="E51">
        <v>5</v>
      </c>
      <c r="F51" s="6">
        <f>VLOOKUP(D51,Products!A$2:C$101,3,FALSE)*E51</f>
        <v>70</v>
      </c>
      <c r="G51" t="s">
        <v>406</v>
      </c>
    </row>
    <row r="52" spans="1:7" x14ac:dyDescent="0.25">
      <c r="A52" s="3">
        <v>44109</v>
      </c>
      <c r="B52" s="2" t="str">
        <f t="shared" si="0"/>
        <v>sa-5-10</v>
      </c>
      <c r="C52" t="s">
        <v>308</v>
      </c>
      <c r="D52" t="s">
        <v>38</v>
      </c>
      <c r="E52">
        <v>3</v>
      </c>
      <c r="F52" s="6">
        <f>VLOOKUP(D52,Products!A$2:C$101,3,FALSE)*E52</f>
        <v>96</v>
      </c>
      <c r="G52" t="s">
        <v>403</v>
      </c>
    </row>
    <row r="53" spans="1:7" x14ac:dyDescent="0.25">
      <c r="A53" s="3">
        <v>43910</v>
      </c>
      <c r="B53" s="2" t="str">
        <f t="shared" si="0"/>
        <v>sa-20-3</v>
      </c>
      <c r="C53" t="s">
        <v>320</v>
      </c>
      <c r="D53" t="s">
        <v>38</v>
      </c>
      <c r="E53">
        <v>4</v>
      </c>
      <c r="F53" s="6">
        <f>VLOOKUP(D53,Products!A$2:C$101,3,FALSE)*E53</f>
        <v>128</v>
      </c>
      <c r="G53" t="s">
        <v>406</v>
      </c>
    </row>
    <row r="54" spans="1:7" x14ac:dyDescent="0.25">
      <c r="A54" s="3">
        <v>43949</v>
      </c>
      <c r="B54" s="2" t="str">
        <f t="shared" si="0"/>
        <v>sa-28-4</v>
      </c>
      <c r="C54" t="s">
        <v>327</v>
      </c>
      <c r="D54" t="s">
        <v>87</v>
      </c>
      <c r="E54">
        <v>3</v>
      </c>
      <c r="F54" s="6">
        <f>VLOOKUP(D54,Products!A$2:C$101,3,FALSE)*E54</f>
        <v>39</v>
      </c>
      <c r="G54" t="s">
        <v>408</v>
      </c>
    </row>
    <row r="55" spans="1:7" x14ac:dyDescent="0.25">
      <c r="A55" s="3">
        <v>44201</v>
      </c>
      <c r="B55" s="2" t="str">
        <f t="shared" si="0"/>
        <v>sa-5-1</v>
      </c>
      <c r="C55" t="s">
        <v>338</v>
      </c>
      <c r="D55" t="s">
        <v>62</v>
      </c>
      <c r="E55">
        <v>3</v>
      </c>
      <c r="F55" s="6">
        <f>VLOOKUP(D55,Products!A$2:C$101,3,FALSE)*E55</f>
        <v>96</v>
      </c>
      <c r="G55" t="s">
        <v>403</v>
      </c>
    </row>
    <row r="56" spans="1:7" x14ac:dyDescent="0.25">
      <c r="A56" s="3">
        <v>44347</v>
      </c>
      <c r="B56" s="2" t="str">
        <f t="shared" si="0"/>
        <v>sa-31-5</v>
      </c>
      <c r="C56" t="s">
        <v>339</v>
      </c>
      <c r="D56" t="s">
        <v>89</v>
      </c>
      <c r="E56">
        <v>4</v>
      </c>
      <c r="F56" s="6">
        <f>VLOOKUP(D56,Products!A$2:C$101,3,FALSE)*E56</f>
        <v>80</v>
      </c>
      <c r="G56" t="s">
        <v>402</v>
      </c>
    </row>
    <row r="57" spans="1:7" x14ac:dyDescent="0.25">
      <c r="A57" s="3">
        <v>44575</v>
      </c>
      <c r="B57" s="2" t="str">
        <f t="shared" si="0"/>
        <v>sa-14-1</v>
      </c>
      <c r="C57" t="s">
        <v>340</v>
      </c>
      <c r="D57" t="s">
        <v>65</v>
      </c>
      <c r="E57">
        <v>5</v>
      </c>
      <c r="F57" s="6">
        <f>VLOOKUP(D57,Products!A$2:C$101,3,FALSE)*E57</f>
        <v>160</v>
      </c>
      <c r="G57" t="s">
        <v>396</v>
      </c>
    </row>
    <row r="58" spans="1:7" x14ac:dyDescent="0.25">
      <c r="A58" s="3">
        <v>44318</v>
      </c>
      <c r="B58" s="2" t="str">
        <f t="shared" si="0"/>
        <v>sa-2-5</v>
      </c>
      <c r="C58" t="s">
        <v>341</v>
      </c>
      <c r="D58" t="s">
        <v>82</v>
      </c>
      <c r="E58">
        <v>2</v>
      </c>
      <c r="F58" s="6">
        <f>VLOOKUP(D58,Products!A$2:C$101,3,FALSE)*E58</f>
        <v>64</v>
      </c>
      <c r="G58" t="s">
        <v>396</v>
      </c>
    </row>
    <row r="59" spans="1:7" x14ac:dyDescent="0.25">
      <c r="A59" s="3">
        <v>44114</v>
      </c>
      <c r="B59" s="2" t="str">
        <f t="shared" si="0"/>
        <v>sa-10-10</v>
      </c>
      <c r="C59" t="s">
        <v>329</v>
      </c>
      <c r="D59" t="s">
        <v>34</v>
      </c>
      <c r="E59">
        <v>2</v>
      </c>
      <c r="F59" s="6">
        <f>VLOOKUP(D59,Products!A$2:C$101,3,FALSE)*E59</f>
        <v>70</v>
      </c>
      <c r="G59" t="s">
        <v>398</v>
      </c>
    </row>
    <row r="60" spans="1:7" x14ac:dyDescent="0.25">
      <c r="A60" s="3">
        <v>44217</v>
      </c>
      <c r="B60" s="2" t="str">
        <f t="shared" si="0"/>
        <v>sa-21-1</v>
      </c>
      <c r="C60" t="s">
        <v>342</v>
      </c>
      <c r="D60" t="s">
        <v>100</v>
      </c>
      <c r="E60">
        <v>5</v>
      </c>
      <c r="F60" s="6">
        <f>VLOOKUP(D60,Products!A$2:C$101,3,FALSE)*E60</f>
        <v>75</v>
      </c>
      <c r="G60" t="s">
        <v>403</v>
      </c>
    </row>
    <row r="61" spans="1:7" x14ac:dyDescent="0.25">
      <c r="A61" s="3">
        <v>44602</v>
      </c>
      <c r="B61" s="2" t="str">
        <f t="shared" si="0"/>
        <v>sa-10-2</v>
      </c>
      <c r="C61" t="s">
        <v>343</v>
      </c>
      <c r="D61" t="s">
        <v>97</v>
      </c>
      <c r="E61">
        <v>2</v>
      </c>
      <c r="F61" s="6">
        <f>VLOOKUP(D61,Products!A$2:C$101,3,FALSE)*E61</f>
        <v>20</v>
      </c>
      <c r="G61" t="s">
        <v>396</v>
      </c>
    </row>
    <row r="62" spans="1:7" x14ac:dyDescent="0.25">
      <c r="A62" s="3">
        <v>44045</v>
      </c>
      <c r="B62" s="2" t="str">
        <f t="shared" si="0"/>
        <v>sa-2-8</v>
      </c>
      <c r="C62" t="s">
        <v>318</v>
      </c>
      <c r="D62" t="s">
        <v>85</v>
      </c>
      <c r="E62">
        <v>5</v>
      </c>
      <c r="F62" s="6">
        <f>VLOOKUP(D62,Products!A$2:C$101,3,FALSE)*E62</f>
        <v>165</v>
      </c>
      <c r="G62" t="s">
        <v>408</v>
      </c>
    </row>
    <row r="63" spans="1:7" x14ac:dyDescent="0.25">
      <c r="A63" s="3">
        <v>44568</v>
      </c>
      <c r="B63" s="2" t="str">
        <f t="shared" si="0"/>
        <v>sa-7-1</v>
      </c>
      <c r="C63" t="s">
        <v>338</v>
      </c>
      <c r="D63" t="s">
        <v>24</v>
      </c>
      <c r="E63">
        <v>4</v>
      </c>
      <c r="F63" s="6">
        <f>VLOOKUP(D63,Products!A$2:C$101,3,FALSE)*E63</f>
        <v>132</v>
      </c>
      <c r="G63" t="s">
        <v>399</v>
      </c>
    </row>
    <row r="64" spans="1:7" x14ac:dyDescent="0.25">
      <c r="A64" s="3">
        <v>44320</v>
      </c>
      <c r="B64" s="2" t="str">
        <f t="shared" si="0"/>
        <v>sa-4-5</v>
      </c>
      <c r="C64" t="s">
        <v>342</v>
      </c>
      <c r="D64" t="s">
        <v>70</v>
      </c>
      <c r="E64">
        <v>3</v>
      </c>
      <c r="F64" s="6">
        <f>VLOOKUP(D64,Products!A$2:C$101,3,FALSE)*E64</f>
        <v>105</v>
      </c>
      <c r="G64" t="s">
        <v>405</v>
      </c>
    </row>
    <row r="65" spans="1:7" x14ac:dyDescent="0.25">
      <c r="A65" s="3">
        <v>44602</v>
      </c>
      <c r="B65" s="2" t="str">
        <f t="shared" si="0"/>
        <v>sa-10-2</v>
      </c>
      <c r="C65" t="s">
        <v>332</v>
      </c>
      <c r="D65" t="s">
        <v>2</v>
      </c>
      <c r="E65">
        <v>2</v>
      </c>
      <c r="F65" s="6">
        <f>VLOOKUP(D65,Products!A$2:C$101,3,FALSE)*E65</f>
        <v>132</v>
      </c>
      <c r="G65" t="s">
        <v>398</v>
      </c>
    </row>
    <row r="66" spans="1:7" x14ac:dyDescent="0.25">
      <c r="A66" s="3">
        <v>44637</v>
      </c>
      <c r="B66" s="2" t="str">
        <f t="shared" si="0"/>
        <v>sa-17-3</v>
      </c>
      <c r="C66" t="s">
        <v>344</v>
      </c>
      <c r="D66" t="s">
        <v>78</v>
      </c>
      <c r="E66">
        <v>5</v>
      </c>
      <c r="F66" s="6">
        <f>VLOOKUP(D66,Products!A$2:C$101,3,FALSE)*E66</f>
        <v>170</v>
      </c>
      <c r="G66" t="s">
        <v>405</v>
      </c>
    </row>
    <row r="67" spans="1:7" x14ac:dyDescent="0.25">
      <c r="A67" s="3">
        <v>43846</v>
      </c>
      <c r="B67" s="2" t="str">
        <f t="shared" ref="B67:B130" si="1">"sa-"&amp;DAY(A67)&amp;"-"&amp;MONTH(A67)</f>
        <v>sa-16-1</v>
      </c>
      <c r="C67" t="s">
        <v>317</v>
      </c>
      <c r="D67" t="s">
        <v>23</v>
      </c>
      <c r="E67">
        <v>4</v>
      </c>
      <c r="F67" s="6">
        <f>VLOOKUP(D67,Products!A$2:C$101,3,FALSE)*E67</f>
        <v>124</v>
      </c>
      <c r="G67" t="s">
        <v>395</v>
      </c>
    </row>
    <row r="68" spans="1:7" x14ac:dyDescent="0.25">
      <c r="A68" s="3">
        <v>44284</v>
      </c>
      <c r="B68" s="2" t="str">
        <f t="shared" si="1"/>
        <v>sa-29-3</v>
      </c>
      <c r="C68" t="s">
        <v>311</v>
      </c>
      <c r="D68" t="s">
        <v>19</v>
      </c>
      <c r="E68">
        <v>4</v>
      </c>
      <c r="F68" s="6">
        <f>VLOOKUP(D68,Products!A$2:C$101,3,FALSE)*E68</f>
        <v>132</v>
      </c>
      <c r="G68" t="s">
        <v>401</v>
      </c>
    </row>
    <row r="69" spans="1:7" x14ac:dyDescent="0.25">
      <c r="A69" s="3">
        <v>44515</v>
      </c>
      <c r="B69" s="2" t="str">
        <f t="shared" si="1"/>
        <v>sa-15-11</v>
      </c>
      <c r="C69" t="s">
        <v>342</v>
      </c>
      <c r="D69" t="s">
        <v>9</v>
      </c>
      <c r="E69">
        <v>4</v>
      </c>
      <c r="F69" s="6">
        <f>VLOOKUP(D69,Products!A$2:C$101,3,FALSE)*E69</f>
        <v>320</v>
      </c>
      <c r="G69" t="s">
        <v>398</v>
      </c>
    </row>
    <row r="70" spans="1:7" x14ac:dyDescent="0.25">
      <c r="A70" s="3">
        <v>44109</v>
      </c>
      <c r="B70" s="2" t="str">
        <f t="shared" si="1"/>
        <v>sa-5-10</v>
      </c>
      <c r="C70" t="s">
        <v>331</v>
      </c>
      <c r="D70" t="s">
        <v>47</v>
      </c>
      <c r="E70">
        <v>3</v>
      </c>
      <c r="F70" s="6">
        <f>VLOOKUP(D70,Products!A$2:C$101,3,FALSE)*E70</f>
        <v>96</v>
      </c>
      <c r="G70" t="s">
        <v>405</v>
      </c>
    </row>
    <row r="71" spans="1:7" x14ac:dyDescent="0.25">
      <c r="A71" s="3">
        <v>43984</v>
      </c>
      <c r="B71" s="2" t="str">
        <f t="shared" si="1"/>
        <v>sa-2-6</v>
      </c>
      <c r="C71" t="s">
        <v>345</v>
      </c>
      <c r="D71" t="s">
        <v>21</v>
      </c>
      <c r="E71">
        <v>4</v>
      </c>
      <c r="F71" s="6">
        <f>VLOOKUP(D71,Products!A$2:C$101,3,FALSE)*E71</f>
        <v>132</v>
      </c>
      <c r="G71" t="s">
        <v>407</v>
      </c>
    </row>
    <row r="72" spans="1:7" x14ac:dyDescent="0.25">
      <c r="A72" s="3">
        <v>44581</v>
      </c>
      <c r="B72" s="2" t="str">
        <f t="shared" si="1"/>
        <v>sa-20-1</v>
      </c>
      <c r="C72" t="s">
        <v>320</v>
      </c>
      <c r="D72" t="s">
        <v>5</v>
      </c>
      <c r="E72">
        <v>5</v>
      </c>
      <c r="F72" s="6">
        <f>VLOOKUP(D72,Products!A$2:C$101,3,FALSE)*E72</f>
        <v>400</v>
      </c>
      <c r="G72" t="s">
        <v>406</v>
      </c>
    </row>
    <row r="73" spans="1:7" x14ac:dyDescent="0.25">
      <c r="A73" s="3">
        <v>44381</v>
      </c>
      <c r="B73" s="2" t="str">
        <f t="shared" si="1"/>
        <v>sa-4-7</v>
      </c>
      <c r="C73" t="s">
        <v>346</v>
      </c>
      <c r="D73" t="s">
        <v>24</v>
      </c>
      <c r="E73">
        <v>5</v>
      </c>
      <c r="F73" s="6">
        <f>VLOOKUP(D73,Products!A$2:C$101,3,FALSE)*E73</f>
        <v>165</v>
      </c>
      <c r="G73" t="s">
        <v>408</v>
      </c>
    </row>
    <row r="74" spans="1:7" x14ac:dyDescent="0.25">
      <c r="A74" s="3">
        <v>44492</v>
      </c>
      <c r="B74" s="2" t="str">
        <f t="shared" si="1"/>
        <v>sa-23-10</v>
      </c>
      <c r="C74" t="s">
        <v>318</v>
      </c>
      <c r="D74" t="s">
        <v>78</v>
      </c>
      <c r="E74">
        <v>5</v>
      </c>
      <c r="F74" s="6">
        <f>VLOOKUP(D74,Products!A$2:C$101,3,FALSE)*E74</f>
        <v>170</v>
      </c>
      <c r="G74" t="s">
        <v>396</v>
      </c>
    </row>
    <row r="75" spans="1:7" x14ac:dyDescent="0.25">
      <c r="A75" s="3">
        <v>44119</v>
      </c>
      <c r="B75" s="2" t="str">
        <f t="shared" si="1"/>
        <v>sa-15-10</v>
      </c>
      <c r="C75" t="s">
        <v>345</v>
      </c>
      <c r="D75" t="s">
        <v>47</v>
      </c>
      <c r="E75">
        <v>6</v>
      </c>
      <c r="F75" s="6">
        <f>VLOOKUP(D75,Products!A$2:C$101,3,FALSE)*E75</f>
        <v>192</v>
      </c>
      <c r="G75" t="s">
        <v>407</v>
      </c>
    </row>
    <row r="76" spans="1:7" x14ac:dyDescent="0.25">
      <c r="A76" s="3">
        <v>44523</v>
      </c>
      <c r="B76" s="2" t="str">
        <f t="shared" si="1"/>
        <v>sa-23-11</v>
      </c>
      <c r="C76" t="s">
        <v>331</v>
      </c>
      <c r="D76" t="s">
        <v>3</v>
      </c>
      <c r="E76">
        <v>4</v>
      </c>
      <c r="F76" s="6">
        <f>VLOOKUP(D76,Products!A$2:C$101,3,FALSE)*E76</f>
        <v>296</v>
      </c>
      <c r="G76" t="s">
        <v>396</v>
      </c>
    </row>
    <row r="77" spans="1:7" x14ac:dyDescent="0.25">
      <c r="A77" s="3">
        <v>44559</v>
      </c>
      <c r="B77" s="2" t="str">
        <f t="shared" si="1"/>
        <v>sa-29-12</v>
      </c>
      <c r="C77" t="s">
        <v>314</v>
      </c>
      <c r="D77" t="s">
        <v>27</v>
      </c>
      <c r="E77">
        <v>5</v>
      </c>
      <c r="F77" s="6">
        <f>VLOOKUP(D77,Products!A$2:C$101,3,FALSE)*E77</f>
        <v>170</v>
      </c>
      <c r="G77" t="s">
        <v>395</v>
      </c>
    </row>
    <row r="78" spans="1:7" x14ac:dyDescent="0.25">
      <c r="A78" s="3">
        <v>44410</v>
      </c>
      <c r="B78" s="2" t="str">
        <f t="shared" si="1"/>
        <v>sa-2-8</v>
      </c>
      <c r="C78" t="s">
        <v>310</v>
      </c>
      <c r="D78" t="s">
        <v>36</v>
      </c>
      <c r="E78">
        <v>4</v>
      </c>
      <c r="F78" s="6">
        <f>VLOOKUP(D78,Products!A$2:C$101,3,FALSE)*E78</f>
        <v>136</v>
      </c>
      <c r="G78" t="s">
        <v>406</v>
      </c>
    </row>
    <row r="79" spans="1:7" x14ac:dyDescent="0.25">
      <c r="A79" s="3">
        <v>43879</v>
      </c>
      <c r="B79" s="2" t="str">
        <f t="shared" si="1"/>
        <v>sa-18-2</v>
      </c>
      <c r="C79" t="s">
        <v>347</v>
      </c>
      <c r="D79" t="s">
        <v>35</v>
      </c>
      <c r="E79">
        <v>2</v>
      </c>
      <c r="F79" s="6">
        <f>VLOOKUP(D79,Products!A$2:C$101,3,FALSE)*E79</f>
        <v>60</v>
      </c>
      <c r="G79" t="s">
        <v>401</v>
      </c>
    </row>
    <row r="80" spans="1:7" x14ac:dyDescent="0.25">
      <c r="A80" s="3">
        <v>44258</v>
      </c>
      <c r="B80" s="2" t="str">
        <f t="shared" si="1"/>
        <v>sa-3-3</v>
      </c>
      <c r="C80" t="s">
        <v>339</v>
      </c>
      <c r="D80" t="s">
        <v>8</v>
      </c>
      <c r="E80">
        <v>5</v>
      </c>
      <c r="F80" s="6">
        <f>VLOOKUP(D80,Products!A$2:C$101,3,FALSE)*E80</f>
        <v>315</v>
      </c>
      <c r="G80" t="s">
        <v>403</v>
      </c>
    </row>
    <row r="81" spans="1:7" x14ac:dyDescent="0.25">
      <c r="A81" s="3">
        <v>44182</v>
      </c>
      <c r="B81" s="2" t="str">
        <f t="shared" si="1"/>
        <v>sa-17-12</v>
      </c>
      <c r="C81" t="s">
        <v>310</v>
      </c>
      <c r="D81" t="s">
        <v>15</v>
      </c>
      <c r="E81">
        <v>2</v>
      </c>
      <c r="F81" s="6">
        <f>VLOOKUP(D81,Products!A$2:C$101,3,FALSE)*E81</f>
        <v>70</v>
      </c>
      <c r="G81" t="s">
        <v>401</v>
      </c>
    </row>
    <row r="82" spans="1:7" x14ac:dyDescent="0.25">
      <c r="A82" s="3">
        <v>43995</v>
      </c>
      <c r="B82" s="2" t="str">
        <f t="shared" si="1"/>
        <v>sa-13-6</v>
      </c>
      <c r="C82" t="s">
        <v>348</v>
      </c>
      <c r="D82" t="s">
        <v>91</v>
      </c>
      <c r="E82">
        <v>3</v>
      </c>
      <c r="F82" s="6">
        <f>VLOOKUP(D82,Products!A$2:C$101,3,FALSE)*E82</f>
        <v>51</v>
      </c>
      <c r="G82" t="s">
        <v>400</v>
      </c>
    </row>
    <row r="83" spans="1:7" x14ac:dyDescent="0.25">
      <c r="A83" s="3">
        <v>44167</v>
      </c>
      <c r="B83" s="2" t="str">
        <f t="shared" si="1"/>
        <v>sa-2-12</v>
      </c>
      <c r="C83" t="s">
        <v>334</v>
      </c>
      <c r="D83" t="s">
        <v>64</v>
      </c>
      <c r="E83">
        <v>3</v>
      </c>
      <c r="F83" s="6">
        <f>VLOOKUP(D83,Products!A$2:C$101,3,FALSE)*E83</f>
        <v>105</v>
      </c>
      <c r="G83" t="s">
        <v>400</v>
      </c>
    </row>
    <row r="84" spans="1:7" x14ac:dyDescent="0.25">
      <c r="A84" s="3">
        <v>44545</v>
      </c>
      <c r="B84" s="2" t="str">
        <f t="shared" si="1"/>
        <v>sa-15-12</v>
      </c>
      <c r="C84" t="s">
        <v>349</v>
      </c>
      <c r="D84" t="s">
        <v>21</v>
      </c>
      <c r="E84">
        <v>4</v>
      </c>
      <c r="F84" s="6">
        <f>VLOOKUP(D84,Products!A$2:C$101,3,FALSE)*E84</f>
        <v>132</v>
      </c>
      <c r="G84" t="s">
        <v>395</v>
      </c>
    </row>
    <row r="85" spans="1:7" x14ac:dyDescent="0.25">
      <c r="A85" s="3">
        <v>44350</v>
      </c>
      <c r="B85" s="2" t="str">
        <f t="shared" si="1"/>
        <v>sa-3-6</v>
      </c>
      <c r="C85" t="s">
        <v>321</v>
      </c>
      <c r="D85" t="s">
        <v>39</v>
      </c>
      <c r="E85">
        <v>2</v>
      </c>
      <c r="F85" s="6">
        <f>VLOOKUP(D85,Products!A$2:C$101,3,FALSE)*E85</f>
        <v>64</v>
      </c>
      <c r="G85" t="s">
        <v>405</v>
      </c>
    </row>
    <row r="86" spans="1:7" x14ac:dyDescent="0.25">
      <c r="A86" s="3">
        <v>44175</v>
      </c>
      <c r="B86" s="2" t="str">
        <f t="shared" si="1"/>
        <v>sa-10-12</v>
      </c>
      <c r="C86" t="s">
        <v>318</v>
      </c>
      <c r="D86" t="s">
        <v>31</v>
      </c>
      <c r="E86">
        <v>6</v>
      </c>
      <c r="F86" s="6">
        <f>VLOOKUP(D86,Products!A$2:C$101,3,FALSE)*E86</f>
        <v>192</v>
      </c>
      <c r="G86" t="s">
        <v>399</v>
      </c>
    </row>
    <row r="87" spans="1:7" x14ac:dyDescent="0.25">
      <c r="A87" s="3">
        <v>44282</v>
      </c>
      <c r="B87" s="2" t="str">
        <f t="shared" si="1"/>
        <v>sa-27-3</v>
      </c>
      <c r="C87" t="s">
        <v>337</v>
      </c>
      <c r="D87" t="s">
        <v>4</v>
      </c>
      <c r="E87">
        <v>4</v>
      </c>
      <c r="F87" s="6">
        <f>VLOOKUP(D87,Products!A$2:C$101,3,FALSE)*E87</f>
        <v>284</v>
      </c>
      <c r="G87" t="s">
        <v>397</v>
      </c>
    </row>
    <row r="88" spans="1:7" x14ac:dyDescent="0.25">
      <c r="A88" s="3">
        <v>43950</v>
      </c>
      <c r="B88" s="2" t="str">
        <f t="shared" si="1"/>
        <v>sa-29-4</v>
      </c>
      <c r="C88" t="s">
        <v>330</v>
      </c>
      <c r="D88" t="s">
        <v>62</v>
      </c>
      <c r="E88">
        <v>6</v>
      </c>
      <c r="F88" s="6">
        <f>VLOOKUP(D88,Products!A$2:C$101,3,FALSE)*E88</f>
        <v>192</v>
      </c>
      <c r="G88" t="s">
        <v>398</v>
      </c>
    </row>
    <row r="89" spans="1:7" x14ac:dyDescent="0.25">
      <c r="A89" s="3">
        <v>44546</v>
      </c>
      <c r="B89" s="2" t="str">
        <f t="shared" si="1"/>
        <v>sa-16-12</v>
      </c>
      <c r="C89" t="s">
        <v>344</v>
      </c>
      <c r="D89" t="s">
        <v>97</v>
      </c>
      <c r="E89">
        <v>4</v>
      </c>
      <c r="F89" s="6">
        <f>VLOOKUP(D89,Products!A$2:C$101,3,FALSE)*E89</f>
        <v>40</v>
      </c>
      <c r="G89" t="s">
        <v>396</v>
      </c>
    </row>
    <row r="90" spans="1:7" x14ac:dyDescent="0.25">
      <c r="A90" s="3">
        <v>44449</v>
      </c>
      <c r="B90" s="2" t="str">
        <f t="shared" si="1"/>
        <v>sa-10-9</v>
      </c>
      <c r="C90" t="s">
        <v>318</v>
      </c>
      <c r="D90" t="s">
        <v>48</v>
      </c>
      <c r="E90">
        <v>3</v>
      </c>
      <c r="F90" s="6">
        <f>VLOOKUP(D90,Products!A$2:C$101,3,FALSE)*E90</f>
        <v>99</v>
      </c>
      <c r="G90" t="s">
        <v>399</v>
      </c>
    </row>
    <row r="91" spans="1:7" x14ac:dyDescent="0.25">
      <c r="A91" s="3">
        <v>44593</v>
      </c>
      <c r="B91" s="2" t="str">
        <f t="shared" si="1"/>
        <v>sa-1-2</v>
      </c>
      <c r="C91" t="s">
        <v>323</v>
      </c>
      <c r="D91" t="s">
        <v>34</v>
      </c>
      <c r="E91">
        <v>5</v>
      </c>
      <c r="F91" s="6">
        <f>VLOOKUP(D91,Products!A$2:C$101,3,FALSE)*E91</f>
        <v>175</v>
      </c>
      <c r="G91" t="s">
        <v>405</v>
      </c>
    </row>
    <row r="92" spans="1:7" x14ac:dyDescent="0.25">
      <c r="A92" s="3">
        <v>44622</v>
      </c>
      <c r="B92" s="2" t="str">
        <f t="shared" si="1"/>
        <v>sa-2-3</v>
      </c>
      <c r="C92" t="s">
        <v>328</v>
      </c>
      <c r="D92" t="s">
        <v>44</v>
      </c>
      <c r="E92">
        <v>2</v>
      </c>
      <c r="F92" s="6">
        <f>VLOOKUP(D92,Products!A$2:C$101,3,FALSE)*E92</f>
        <v>62</v>
      </c>
      <c r="G92" t="s">
        <v>397</v>
      </c>
    </row>
    <row r="93" spans="1:7" x14ac:dyDescent="0.25">
      <c r="A93" s="3">
        <v>44484</v>
      </c>
      <c r="B93" s="2" t="str">
        <f t="shared" si="1"/>
        <v>sa-15-10</v>
      </c>
      <c r="C93" t="s">
        <v>345</v>
      </c>
      <c r="D93" t="s">
        <v>63</v>
      </c>
      <c r="E93">
        <v>2</v>
      </c>
      <c r="F93" s="6">
        <f>VLOOKUP(D93,Products!A$2:C$101,3,FALSE)*E93</f>
        <v>66</v>
      </c>
      <c r="G93" t="s">
        <v>405</v>
      </c>
    </row>
    <row r="94" spans="1:7" x14ac:dyDescent="0.25">
      <c r="A94" s="3">
        <v>44533</v>
      </c>
      <c r="B94" s="2" t="str">
        <f t="shared" si="1"/>
        <v>sa-3-12</v>
      </c>
      <c r="C94" t="s">
        <v>314</v>
      </c>
      <c r="D94" t="s">
        <v>70</v>
      </c>
      <c r="E94">
        <v>6</v>
      </c>
      <c r="F94" s="6">
        <f>VLOOKUP(D94,Products!A$2:C$101,3,FALSE)*E94</f>
        <v>210</v>
      </c>
      <c r="G94" t="s">
        <v>408</v>
      </c>
    </row>
    <row r="95" spans="1:7" x14ac:dyDescent="0.25">
      <c r="A95" s="3">
        <v>44064</v>
      </c>
      <c r="B95" s="2" t="str">
        <f t="shared" si="1"/>
        <v>sa-21-8</v>
      </c>
      <c r="C95" t="s">
        <v>316</v>
      </c>
      <c r="D95" t="s">
        <v>91</v>
      </c>
      <c r="E95">
        <v>5</v>
      </c>
      <c r="F95" s="6">
        <f>VLOOKUP(D95,Products!A$2:C$101,3,FALSE)*E95</f>
        <v>85</v>
      </c>
      <c r="G95" t="s">
        <v>400</v>
      </c>
    </row>
    <row r="96" spans="1:7" x14ac:dyDescent="0.25">
      <c r="A96" s="3">
        <v>44419</v>
      </c>
      <c r="B96" s="2" t="str">
        <f t="shared" si="1"/>
        <v>sa-11-8</v>
      </c>
      <c r="C96" t="s">
        <v>336</v>
      </c>
      <c r="D96" t="s">
        <v>46</v>
      </c>
      <c r="E96">
        <v>4</v>
      </c>
      <c r="F96" s="6">
        <f>VLOOKUP(D96,Products!A$2:C$101,3,FALSE)*E96</f>
        <v>120</v>
      </c>
      <c r="G96" t="s">
        <v>404</v>
      </c>
    </row>
    <row r="97" spans="1:7" x14ac:dyDescent="0.25">
      <c r="A97" s="3">
        <v>44579</v>
      </c>
      <c r="B97" s="2" t="str">
        <f t="shared" si="1"/>
        <v>sa-18-1</v>
      </c>
      <c r="C97" t="s">
        <v>326</v>
      </c>
      <c r="D97" t="s">
        <v>89</v>
      </c>
      <c r="E97">
        <v>2</v>
      </c>
      <c r="F97" s="6">
        <f>VLOOKUP(D97,Products!A$2:C$101,3,FALSE)*E97</f>
        <v>40</v>
      </c>
      <c r="G97" t="s">
        <v>406</v>
      </c>
    </row>
    <row r="98" spans="1:7" x14ac:dyDescent="0.25">
      <c r="A98" s="3">
        <v>44673</v>
      </c>
      <c r="B98" s="2" t="str">
        <f t="shared" si="1"/>
        <v>sa-22-4</v>
      </c>
      <c r="C98" t="s">
        <v>316</v>
      </c>
      <c r="D98" t="s">
        <v>68</v>
      </c>
      <c r="E98">
        <v>6</v>
      </c>
      <c r="F98" s="6">
        <f>VLOOKUP(D98,Products!A$2:C$101,3,FALSE)*E98</f>
        <v>192</v>
      </c>
      <c r="G98" t="s">
        <v>400</v>
      </c>
    </row>
    <row r="99" spans="1:7" x14ac:dyDescent="0.25">
      <c r="A99" s="3">
        <v>43947</v>
      </c>
      <c r="B99" s="2" t="str">
        <f t="shared" si="1"/>
        <v>sa-26-4</v>
      </c>
      <c r="C99" t="s">
        <v>311</v>
      </c>
      <c r="D99" t="s">
        <v>22</v>
      </c>
      <c r="E99">
        <v>5</v>
      </c>
      <c r="F99" s="6">
        <f>VLOOKUP(D99,Products!A$2:C$101,3,FALSE)*E99</f>
        <v>170</v>
      </c>
      <c r="G99" t="s">
        <v>401</v>
      </c>
    </row>
    <row r="100" spans="1:7" x14ac:dyDescent="0.25">
      <c r="A100" s="3">
        <v>44194</v>
      </c>
      <c r="B100" s="2" t="str">
        <f t="shared" si="1"/>
        <v>sa-29-12</v>
      </c>
      <c r="C100" t="s">
        <v>332</v>
      </c>
      <c r="D100" t="s">
        <v>28</v>
      </c>
      <c r="E100">
        <v>3</v>
      </c>
      <c r="F100" s="6">
        <f>VLOOKUP(D100,Products!A$2:C$101,3,FALSE)*E100</f>
        <v>90</v>
      </c>
      <c r="G100" t="s">
        <v>405</v>
      </c>
    </row>
    <row r="101" spans="1:7" x14ac:dyDescent="0.25">
      <c r="A101" s="3">
        <v>44046</v>
      </c>
      <c r="B101" s="2" t="str">
        <f t="shared" si="1"/>
        <v>sa-3-8</v>
      </c>
      <c r="C101" t="s">
        <v>324</v>
      </c>
      <c r="D101" t="s">
        <v>59</v>
      </c>
      <c r="E101">
        <v>2</v>
      </c>
      <c r="F101" s="6">
        <f>VLOOKUP(D101,Products!A$2:C$101,3,FALSE)*E101</f>
        <v>70</v>
      </c>
      <c r="G101" t="s">
        <v>403</v>
      </c>
    </row>
    <row r="102" spans="1:7" x14ac:dyDescent="0.25">
      <c r="A102" s="3">
        <v>43877</v>
      </c>
      <c r="B102" s="2" t="str">
        <f t="shared" si="1"/>
        <v>sa-16-2</v>
      </c>
      <c r="C102" t="s">
        <v>340</v>
      </c>
      <c r="D102" t="s">
        <v>31</v>
      </c>
      <c r="E102">
        <v>4</v>
      </c>
      <c r="F102" s="6">
        <f>VLOOKUP(D102,Products!A$2:C$101,3,FALSE)*E102</f>
        <v>128</v>
      </c>
      <c r="G102" t="s">
        <v>400</v>
      </c>
    </row>
    <row r="103" spans="1:7" x14ac:dyDescent="0.25">
      <c r="A103" s="3">
        <v>44185</v>
      </c>
      <c r="B103" s="2" t="str">
        <f t="shared" si="1"/>
        <v>sa-20-12</v>
      </c>
      <c r="C103" t="s">
        <v>316</v>
      </c>
      <c r="D103" t="s">
        <v>73</v>
      </c>
      <c r="E103">
        <v>2</v>
      </c>
      <c r="F103" s="6">
        <f>VLOOKUP(D103,Products!A$2:C$101,3,FALSE)*E103</f>
        <v>70</v>
      </c>
      <c r="G103" t="s">
        <v>402</v>
      </c>
    </row>
    <row r="104" spans="1:7" x14ac:dyDescent="0.25">
      <c r="A104" s="3">
        <v>44309</v>
      </c>
      <c r="B104" s="2" t="str">
        <f t="shared" si="1"/>
        <v>sa-23-4</v>
      </c>
      <c r="C104" t="s">
        <v>317</v>
      </c>
      <c r="D104" t="s">
        <v>30</v>
      </c>
      <c r="E104">
        <v>6</v>
      </c>
      <c r="F104" s="6">
        <f>VLOOKUP(D104,Products!A$2:C$101,3,FALSE)*E104</f>
        <v>210</v>
      </c>
      <c r="G104" t="s">
        <v>400</v>
      </c>
    </row>
    <row r="105" spans="1:7" x14ac:dyDescent="0.25">
      <c r="A105" s="3">
        <v>44192</v>
      </c>
      <c r="B105" s="2" t="str">
        <f t="shared" si="1"/>
        <v>sa-27-12</v>
      </c>
      <c r="C105" t="s">
        <v>331</v>
      </c>
      <c r="D105" t="s">
        <v>70</v>
      </c>
      <c r="E105">
        <v>3</v>
      </c>
      <c r="F105" s="6">
        <f>VLOOKUP(D105,Products!A$2:C$101,3,FALSE)*E105</f>
        <v>105</v>
      </c>
      <c r="G105" t="s">
        <v>398</v>
      </c>
    </row>
    <row r="106" spans="1:7" x14ac:dyDescent="0.25">
      <c r="A106" s="3">
        <v>43850</v>
      </c>
      <c r="B106" s="2" t="str">
        <f t="shared" si="1"/>
        <v>sa-20-1</v>
      </c>
      <c r="C106" t="s">
        <v>347</v>
      </c>
      <c r="D106" t="s">
        <v>34</v>
      </c>
      <c r="E106">
        <v>2</v>
      </c>
      <c r="F106" s="6">
        <f>VLOOKUP(D106,Products!A$2:C$101,3,FALSE)*E106</f>
        <v>70</v>
      </c>
      <c r="G106" t="s">
        <v>403</v>
      </c>
    </row>
    <row r="107" spans="1:7" x14ac:dyDescent="0.25">
      <c r="A107" s="3">
        <v>44098</v>
      </c>
      <c r="B107" s="2" t="str">
        <f t="shared" si="1"/>
        <v>sa-24-9</v>
      </c>
      <c r="C107" t="s">
        <v>309</v>
      </c>
      <c r="D107" t="s">
        <v>8</v>
      </c>
      <c r="E107">
        <v>4</v>
      </c>
      <c r="F107" s="6">
        <f>VLOOKUP(D107,Products!A$2:C$101,3,FALSE)*E107</f>
        <v>252</v>
      </c>
      <c r="G107" t="s">
        <v>399</v>
      </c>
    </row>
    <row r="108" spans="1:7" x14ac:dyDescent="0.25">
      <c r="A108" s="3">
        <v>44741</v>
      </c>
      <c r="B108" s="2" t="str">
        <f t="shared" si="1"/>
        <v>sa-29-6</v>
      </c>
      <c r="C108" t="s">
        <v>350</v>
      </c>
      <c r="D108" t="s">
        <v>66</v>
      </c>
      <c r="E108">
        <v>6</v>
      </c>
      <c r="F108" s="6">
        <f>VLOOKUP(D108,Products!A$2:C$101,3,FALSE)*E108</f>
        <v>180</v>
      </c>
      <c r="G108" t="s">
        <v>398</v>
      </c>
    </row>
    <row r="109" spans="1:7" x14ac:dyDescent="0.25">
      <c r="A109" s="3">
        <v>44472</v>
      </c>
      <c r="B109" s="2" t="str">
        <f t="shared" si="1"/>
        <v>sa-3-10</v>
      </c>
      <c r="C109" t="s">
        <v>325</v>
      </c>
      <c r="D109" t="s">
        <v>83</v>
      </c>
      <c r="E109">
        <v>3</v>
      </c>
      <c r="F109" s="6">
        <f>VLOOKUP(D109,Products!A$2:C$101,3,FALSE)*E109</f>
        <v>90</v>
      </c>
      <c r="G109" t="s">
        <v>400</v>
      </c>
    </row>
    <row r="110" spans="1:7" x14ac:dyDescent="0.25">
      <c r="A110" s="3">
        <v>44598</v>
      </c>
      <c r="B110" s="2" t="str">
        <f t="shared" si="1"/>
        <v>sa-6-2</v>
      </c>
      <c r="C110" t="s">
        <v>347</v>
      </c>
      <c r="D110" t="s">
        <v>48</v>
      </c>
      <c r="E110">
        <v>3</v>
      </c>
      <c r="F110" s="6">
        <f>VLOOKUP(D110,Products!A$2:C$101,3,FALSE)*E110</f>
        <v>99</v>
      </c>
      <c r="G110" t="s">
        <v>402</v>
      </c>
    </row>
    <row r="111" spans="1:7" x14ac:dyDescent="0.25">
      <c r="A111" s="3">
        <v>44693</v>
      </c>
      <c r="B111" s="2" t="str">
        <f t="shared" si="1"/>
        <v>sa-12-5</v>
      </c>
      <c r="C111" t="s">
        <v>318</v>
      </c>
      <c r="D111" t="s">
        <v>27</v>
      </c>
      <c r="E111">
        <v>3</v>
      </c>
      <c r="F111" s="6">
        <f>VLOOKUP(D111,Products!A$2:C$101,3,FALSE)*E111</f>
        <v>102</v>
      </c>
      <c r="G111" t="s">
        <v>399</v>
      </c>
    </row>
    <row r="112" spans="1:7" x14ac:dyDescent="0.25">
      <c r="A112" s="3">
        <v>44149</v>
      </c>
      <c r="B112" s="2" t="str">
        <f t="shared" si="1"/>
        <v>sa-14-11</v>
      </c>
      <c r="C112" t="s">
        <v>351</v>
      </c>
      <c r="D112" t="s">
        <v>87</v>
      </c>
      <c r="E112">
        <v>3</v>
      </c>
      <c r="F112" s="6">
        <f>VLOOKUP(D112,Products!A$2:C$101,3,FALSE)*E112</f>
        <v>39</v>
      </c>
      <c r="G112" t="s">
        <v>395</v>
      </c>
    </row>
    <row r="113" spans="1:7" x14ac:dyDescent="0.25">
      <c r="A113" s="3">
        <v>44034</v>
      </c>
      <c r="B113" s="2" t="str">
        <f t="shared" si="1"/>
        <v>sa-22-7</v>
      </c>
      <c r="C113" t="s">
        <v>330</v>
      </c>
      <c r="D113" t="s">
        <v>45</v>
      </c>
      <c r="E113">
        <v>5</v>
      </c>
      <c r="F113" s="6">
        <f>VLOOKUP(D113,Products!A$2:C$101,3,FALSE)*E113</f>
        <v>150</v>
      </c>
      <c r="G113" t="s">
        <v>402</v>
      </c>
    </row>
    <row r="114" spans="1:7" x14ac:dyDescent="0.25">
      <c r="A114" s="3">
        <v>44541</v>
      </c>
      <c r="B114" s="2" t="str">
        <f t="shared" si="1"/>
        <v>sa-11-12</v>
      </c>
      <c r="C114" t="s">
        <v>311</v>
      </c>
      <c r="D114" t="s">
        <v>47</v>
      </c>
      <c r="E114">
        <v>2</v>
      </c>
      <c r="F114" s="6">
        <f>VLOOKUP(D114,Products!A$2:C$101,3,FALSE)*E114</f>
        <v>64</v>
      </c>
      <c r="G114" t="s">
        <v>408</v>
      </c>
    </row>
    <row r="115" spans="1:7" x14ac:dyDescent="0.25">
      <c r="A115" s="3">
        <v>44444</v>
      </c>
      <c r="B115" s="2" t="str">
        <f t="shared" si="1"/>
        <v>sa-5-9</v>
      </c>
      <c r="C115" t="s">
        <v>332</v>
      </c>
      <c r="D115" t="s">
        <v>60</v>
      </c>
      <c r="E115">
        <v>5</v>
      </c>
      <c r="F115" s="6">
        <f>VLOOKUP(D115,Products!A$2:C$101,3,FALSE)*E115</f>
        <v>150</v>
      </c>
      <c r="G115" t="s">
        <v>402</v>
      </c>
    </row>
    <row r="116" spans="1:7" x14ac:dyDescent="0.25">
      <c r="A116" s="3">
        <v>44321</v>
      </c>
      <c r="B116" s="2" t="str">
        <f t="shared" si="1"/>
        <v>sa-5-5</v>
      </c>
      <c r="C116" t="s">
        <v>321</v>
      </c>
      <c r="D116" t="s">
        <v>76</v>
      </c>
      <c r="E116">
        <v>4</v>
      </c>
      <c r="F116" s="6">
        <f>VLOOKUP(D116,Products!A$2:C$101,3,FALSE)*E116</f>
        <v>136</v>
      </c>
      <c r="G116" t="s">
        <v>396</v>
      </c>
    </row>
    <row r="117" spans="1:7" x14ac:dyDescent="0.25">
      <c r="A117" s="3">
        <v>44594</v>
      </c>
      <c r="B117" s="2" t="str">
        <f t="shared" si="1"/>
        <v>sa-2-2</v>
      </c>
      <c r="C117" t="s">
        <v>322</v>
      </c>
      <c r="D117" t="s">
        <v>62</v>
      </c>
      <c r="E117">
        <v>2</v>
      </c>
      <c r="F117" s="6">
        <f>VLOOKUP(D117,Products!A$2:C$101,3,FALSE)*E117</f>
        <v>64</v>
      </c>
      <c r="G117" t="s">
        <v>399</v>
      </c>
    </row>
    <row r="118" spans="1:7" x14ac:dyDescent="0.25">
      <c r="A118" s="3">
        <v>44313</v>
      </c>
      <c r="B118" s="2" t="str">
        <f t="shared" si="1"/>
        <v>sa-27-4</v>
      </c>
      <c r="C118" t="s">
        <v>338</v>
      </c>
      <c r="D118" t="s">
        <v>55</v>
      </c>
      <c r="E118">
        <v>5</v>
      </c>
      <c r="F118" s="6">
        <f>VLOOKUP(D118,Products!A$2:C$101,3,FALSE)*E118</f>
        <v>160</v>
      </c>
      <c r="G118" t="s">
        <v>397</v>
      </c>
    </row>
    <row r="119" spans="1:7" x14ac:dyDescent="0.25">
      <c r="A119" s="3">
        <v>44520</v>
      </c>
      <c r="B119" s="2" t="str">
        <f t="shared" si="1"/>
        <v>sa-20-11</v>
      </c>
      <c r="C119" t="s">
        <v>307</v>
      </c>
      <c r="D119" t="s">
        <v>97</v>
      </c>
      <c r="E119">
        <v>3</v>
      </c>
      <c r="F119" s="6">
        <f>VLOOKUP(D119,Products!A$2:C$101,3,FALSE)*E119</f>
        <v>30</v>
      </c>
      <c r="G119" t="s">
        <v>405</v>
      </c>
    </row>
    <row r="120" spans="1:7" x14ac:dyDescent="0.25">
      <c r="A120" s="3">
        <v>44669</v>
      </c>
      <c r="B120" s="2" t="str">
        <f t="shared" si="1"/>
        <v>sa-18-4</v>
      </c>
      <c r="C120" t="s">
        <v>319</v>
      </c>
      <c r="D120" t="s">
        <v>72</v>
      </c>
      <c r="E120">
        <v>2</v>
      </c>
      <c r="F120" s="6">
        <f>VLOOKUP(D120,Products!A$2:C$101,3,FALSE)*E120</f>
        <v>62</v>
      </c>
      <c r="G120" t="s">
        <v>404</v>
      </c>
    </row>
    <row r="121" spans="1:7" x14ac:dyDescent="0.25">
      <c r="A121" s="3">
        <v>43929</v>
      </c>
      <c r="B121" s="2" t="str">
        <f t="shared" si="1"/>
        <v>sa-8-4</v>
      </c>
      <c r="C121" t="s">
        <v>317</v>
      </c>
      <c r="D121" t="s">
        <v>17</v>
      </c>
      <c r="E121">
        <v>5</v>
      </c>
      <c r="F121" s="6">
        <f>VLOOKUP(D121,Products!A$2:C$101,3,FALSE)*E121</f>
        <v>160</v>
      </c>
      <c r="G121" t="s">
        <v>408</v>
      </c>
    </row>
    <row r="122" spans="1:7" x14ac:dyDescent="0.25">
      <c r="A122" s="3">
        <v>44654</v>
      </c>
      <c r="B122" s="2" t="str">
        <f t="shared" si="1"/>
        <v>sa-3-4</v>
      </c>
      <c r="C122" t="s">
        <v>317</v>
      </c>
      <c r="D122" t="s">
        <v>6</v>
      </c>
      <c r="E122">
        <v>3</v>
      </c>
      <c r="F122" s="6">
        <f>VLOOKUP(D122,Products!A$2:C$101,3,FALSE)*E122</f>
        <v>207</v>
      </c>
      <c r="G122" t="s">
        <v>405</v>
      </c>
    </row>
    <row r="123" spans="1:7" x14ac:dyDescent="0.25">
      <c r="A123" s="3">
        <v>44033</v>
      </c>
      <c r="B123" s="2" t="str">
        <f t="shared" si="1"/>
        <v>sa-21-7</v>
      </c>
      <c r="C123" t="s">
        <v>352</v>
      </c>
      <c r="D123" t="s">
        <v>51</v>
      </c>
      <c r="E123">
        <v>5</v>
      </c>
      <c r="F123" s="6">
        <f>VLOOKUP(D123,Products!A$2:C$101,3,FALSE)*E123</f>
        <v>155</v>
      </c>
      <c r="G123" t="s">
        <v>406</v>
      </c>
    </row>
    <row r="124" spans="1:7" x14ac:dyDescent="0.25">
      <c r="A124" s="3">
        <v>44138</v>
      </c>
      <c r="B124" s="2" t="str">
        <f t="shared" si="1"/>
        <v>sa-3-11</v>
      </c>
      <c r="C124" t="s">
        <v>345</v>
      </c>
      <c r="D124" t="s">
        <v>61</v>
      </c>
      <c r="E124">
        <v>2</v>
      </c>
      <c r="F124" s="6">
        <f>VLOOKUP(D124,Products!A$2:C$101,3,FALSE)*E124</f>
        <v>62</v>
      </c>
      <c r="G124" t="s">
        <v>403</v>
      </c>
    </row>
    <row r="125" spans="1:7" x14ac:dyDescent="0.25">
      <c r="A125" s="3">
        <v>43882</v>
      </c>
      <c r="B125" s="2" t="str">
        <f t="shared" si="1"/>
        <v>sa-21-2</v>
      </c>
      <c r="C125" t="s">
        <v>326</v>
      </c>
      <c r="D125" t="s">
        <v>59</v>
      </c>
      <c r="E125">
        <v>5</v>
      </c>
      <c r="F125" s="6">
        <f>VLOOKUP(D125,Products!A$2:C$101,3,FALSE)*E125</f>
        <v>175</v>
      </c>
      <c r="G125" t="s">
        <v>400</v>
      </c>
    </row>
    <row r="126" spans="1:7" x14ac:dyDescent="0.25">
      <c r="A126" s="3">
        <v>44032</v>
      </c>
      <c r="B126" s="2" t="str">
        <f t="shared" si="1"/>
        <v>sa-20-7</v>
      </c>
      <c r="C126" t="s">
        <v>337</v>
      </c>
      <c r="D126" t="s">
        <v>99</v>
      </c>
      <c r="E126">
        <v>5</v>
      </c>
      <c r="F126" s="6">
        <f>VLOOKUP(D126,Products!A$2:C$101,3,FALSE)*E126</f>
        <v>75</v>
      </c>
      <c r="G126" t="s">
        <v>398</v>
      </c>
    </row>
    <row r="127" spans="1:7" x14ac:dyDescent="0.25">
      <c r="A127" s="3">
        <v>44427</v>
      </c>
      <c r="B127" s="2" t="str">
        <f t="shared" si="1"/>
        <v>sa-19-8</v>
      </c>
      <c r="C127" t="s">
        <v>352</v>
      </c>
      <c r="D127" t="s">
        <v>83</v>
      </c>
      <c r="E127">
        <v>5</v>
      </c>
      <c r="F127" s="6">
        <f>VLOOKUP(D127,Products!A$2:C$101,3,FALSE)*E127</f>
        <v>150</v>
      </c>
      <c r="G127" t="s">
        <v>401</v>
      </c>
    </row>
    <row r="128" spans="1:7" x14ac:dyDescent="0.25">
      <c r="A128" s="3">
        <v>44403</v>
      </c>
      <c r="B128" s="2" t="str">
        <f t="shared" si="1"/>
        <v>sa-26-7</v>
      </c>
      <c r="C128" t="s">
        <v>346</v>
      </c>
      <c r="D128" t="s">
        <v>26</v>
      </c>
      <c r="E128">
        <v>3</v>
      </c>
      <c r="F128" s="6">
        <f>VLOOKUP(D128,Products!A$2:C$101,3,FALSE)*E128</f>
        <v>99</v>
      </c>
      <c r="G128" t="s">
        <v>395</v>
      </c>
    </row>
    <row r="129" spans="1:7" x14ac:dyDescent="0.25">
      <c r="A129" s="3">
        <v>44065</v>
      </c>
      <c r="B129" s="2" t="str">
        <f t="shared" si="1"/>
        <v>sa-22-8</v>
      </c>
      <c r="C129" t="s">
        <v>311</v>
      </c>
      <c r="D129" t="s">
        <v>60</v>
      </c>
      <c r="E129">
        <v>6</v>
      </c>
      <c r="F129" s="6">
        <f>VLOOKUP(D129,Products!A$2:C$101,3,FALSE)*E129</f>
        <v>180</v>
      </c>
      <c r="G129" t="s">
        <v>401</v>
      </c>
    </row>
    <row r="130" spans="1:7" x14ac:dyDescent="0.25">
      <c r="A130" s="3">
        <v>44110</v>
      </c>
      <c r="B130" s="2" t="str">
        <f t="shared" si="1"/>
        <v>sa-6-10</v>
      </c>
      <c r="C130" t="s">
        <v>329</v>
      </c>
      <c r="D130" t="s">
        <v>42</v>
      </c>
      <c r="E130">
        <v>2</v>
      </c>
      <c r="F130" s="6">
        <f>VLOOKUP(D130,Products!A$2:C$101,3,FALSE)*E130</f>
        <v>68</v>
      </c>
      <c r="G130" t="s">
        <v>404</v>
      </c>
    </row>
    <row r="131" spans="1:7" x14ac:dyDescent="0.25">
      <c r="A131" s="3">
        <v>44656</v>
      </c>
      <c r="B131" s="2" t="str">
        <f t="shared" ref="B131:B194" si="2">"sa-"&amp;DAY(A131)&amp;"-"&amp;MONTH(A131)</f>
        <v>sa-5-4</v>
      </c>
      <c r="C131" t="s">
        <v>346</v>
      </c>
      <c r="D131" t="s">
        <v>22</v>
      </c>
      <c r="E131">
        <v>5</v>
      </c>
      <c r="F131" s="6">
        <f>VLOOKUP(D131,Products!A$2:C$101,3,FALSE)*E131</f>
        <v>170</v>
      </c>
      <c r="G131" t="s">
        <v>406</v>
      </c>
    </row>
    <row r="132" spans="1:7" x14ac:dyDescent="0.25">
      <c r="A132" s="3">
        <v>44395</v>
      </c>
      <c r="B132" s="2" t="str">
        <f t="shared" si="2"/>
        <v>sa-18-7</v>
      </c>
      <c r="C132" t="s">
        <v>321</v>
      </c>
      <c r="D132" t="s">
        <v>74</v>
      </c>
      <c r="E132">
        <v>2</v>
      </c>
      <c r="F132" s="6">
        <f>VLOOKUP(D132,Products!A$2:C$101,3,FALSE)*E132</f>
        <v>68</v>
      </c>
      <c r="G132" t="s">
        <v>396</v>
      </c>
    </row>
    <row r="133" spans="1:7" x14ac:dyDescent="0.25">
      <c r="A133" s="3">
        <v>44202</v>
      </c>
      <c r="B133" s="2" t="str">
        <f t="shared" si="2"/>
        <v>sa-6-1</v>
      </c>
      <c r="C133" t="s">
        <v>333</v>
      </c>
      <c r="D133" t="s">
        <v>17</v>
      </c>
      <c r="E133">
        <v>4</v>
      </c>
      <c r="F133" s="6">
        <f>VLOOKUP(D133,Products!A$2:C$101,3,FALSE)*E133</f>
        <v>128</v>
      </c>
      <c r="G133" t="s">
        <v>407</v>
      </c>
    </row>
    <row r="134" spans="1:7" x14ac:dyDescent="0.25">
      <c r="A134" s="3">
        <v>44212</v>
      </c>
      <c r="B134" s="2" t="str">
        <f t="shared" si="2"/>
        <v>sa-16-1</v>
      </c>
      <c r="C134" t="s">
        <v>344</v>
      </c>
      <c r="D134" t="s">
        <v>74</v>
      </c>
      <c r="E134">
        <v>3</v>
      </c>
      <c r="F134" s="6">
        <f>VLOOKUP(D134,Products!A$2:C$101,3,FALSE)*E134</f>
        <v>102</v>
      </c>
      <c r="G134" t="s">
        <v>405</v>
      </c>
    </row>
    <row r="135" spans="1:7" x14ac:dyDescent="0.25">
      <c r="A135" s="3">
        <v>44434</v>
      </c>
      <c r="B135" s="2" t="str">
        <f t="shared" si="2"/>
        <v>sa-26-8</v>
      </c>
      <c r="C135" t="s">
        <v>353</v>
      </c>
      <c r="D135" t="s">
        <v>39</v>
      </c>
      <c r="E135">
        <v>2</v>
      </c>
      <c r="F135" s="6">
        <f>VLOOKUP(D135,Products!A$2:C$101,3,FALSE)*E135</f>
        <v>64</v>
      </c>
      <c r="G135" t="s">
        <v>404</v>
      </c>
    </row>
    <row r="136" spans="1:7" x14ac:dyDescent="0.25">
      <c r="A136" s="3">
        <v>44215</v>
      </c>
      <c r="B136" s="2" t="str">
        <f t="shared" si="2"/>
        <v>sa-19-1</v>
      </c>
      <c r="C136" t="s">
        <v>332</v>
      </c>
      <c r="D136" t="s">
        <v>41</v>
      </c>
      <c r="E136">
        <v>6</v>
      </c>
      <c r="F136" s="6">
        <f>VLOOKUP(D136,Products!A$2:C$101,3,FALSE)*E136</f>
        <v>198</v>
      </c>
      <c r="G136" t="s">
        <v>395</v>
      </c>
    </row>
    <row r="137" spans="1:7" x14ac:dyDescent="0.25">
      <c r="A137" s="3">
        <v>44162</v>
      </c>
      <c r="B137" s="2" t="str">
        <f t="shared" si="2"/>
        <v>sa-27-11</v>
      </c>
      <c r="C137" t="s">
        <v>320</v>
      </c>
      <c r="D137" t="s">
        <v>68</v>
      </c>
      <c r="E137">
        <v>3</v>
      </c>
      <c r="F137" s="6">
        <f>VLOOKUP(D137,Products!A$2:C$101,3,FALSE)*E137</f>
        <v>96</v>
      </c>
      <c r="G137" t="s">
        <v>404</v>
      </c>
    </row>
    <row r="138" spans="1:7" x14ac:dyDescent="0.25">
      <c r="A138" s="3">
        <v>43877</v>
      </c>
      <c r="B138" s="2" t="str">
        <f t="shared" si="2"/>
        <v>sa-16-2</v>
      </c>
      <c r="C138" t="s">
        <v>346</v>
      </c>
      <c r="D138" t="s">
        <v>98</v>
      </c>
      <c r="E138">
        <v>5</v>
      </c>
      <c r="F138" s="6">
        <f>VLOOKUP(D138,Products!A$2:C$101,3,FALSE)*E138</f>
        <v>95</v>
      </c>
      <c r="G138" t="s">
        <v>399</v>
      </c>
    </row>
    <row r="139" spans="1:7" x14ac:dyDescent="0.25">
      <c r="A139" s="3">
        <v>44466</v>
      </c>
      <c r="B139" s="2" t="str">
        <f t="shared" si="2"/>
        <v>sa-27-9</v>
      </c>
      <c r="C139" t="s">
        <v>340</v>
      </c>
      <c r="D139" t="s">
        <v>49</v>
      </c>
      <c r="E139">
        <v>5</v>
      </c>
      <c r="F139" s="6">
        <f>VLOOKUP(D139,Products!A$2:C$101,3,FALSE)*E139</f>
        <v>165</v>
      </c>
      <c r="G139" t="s">
        <v>398</v>
      </c>
    </row>
    <row r="140" spans="1:7" x14ac:dyDescent="0.25">
      <c r="A140" s="3">
        <v>44221</v>
      </c>
      <c r="B140" s="2" t="str">
        <f t="shared" si="2"/>
        <v>sa-25-1</v>
      </c>
      <c r="C140" t="s">
        <v>349</v>
      </c>
      <c r="D140" t="s">
        <v>98</v>
      </c>
      <c r="E140">
        <v>5</v>
      </c>
      <c r="F140" s="6">
        <f>VLOOKUP(D140,Products!A$2:C$101,3,FALSE)*E140</f>
        <v>95</v>
      </c>
      <c r="G140" t="s">
        <v>408</v>
      </c>
    </row>
    <row r="141" spans="1:7" x14ac:dyDescent="0.25">
      <c r="A141" s="3">
        <v>43941</v>
      </c>
      <c r="B141" s="2" t="str">
        <f t="shared" si="2"/>
        <v>sa-20-4</v>
      </c>
      <c r="C141" t="s">
        <v>324</v>
      </c>
      <c r="D141" t="s">
        <v>77</v>
      </c>
      <c r="E141">
        <v>4</v>
      </c>
      <c r="F141" s="6">
        <f>VLOOKUP(D141,Products!A$2:C$101,3,FALSE)*E141</f>
        <v>136</v>
      </c>
      <c r="G141" t="s">
        <v>406</v>
      </c>
    </row>
    <row r="142" spans="1:7" x14ac:dyDescent="0.25">
      <c r="A142" s="3">
        <v>44317</v>
      </c>
      <c r="B142" s="2" t="str">
        <f t="shared" si="2"/>
        <v>sa-1-5</v>
      </c>
      <c r="C142" t="s">
        <v>338</v>
      </c>
      <c r="D142" t="s">
        <v>35</v>
      </c>
      <c r="E142">
        <v>6</v>
      </c>
      <c r="F142" s="6">
        <f>VLOOKUP(D142,Products!A$2:C$101,3,FALSE)*E142</f>
        <v>180</v>
      </c>
      <c r="G142" t="s">
        <v>402</v>
      </c>
    </row>
    <row r="143" spans="1:7" x14ac:dyDescent="0.25">
      <c r="A143" s="3">
        <v>44639</v>
      </c>
      <c r="B143" s="2" t="str">
        <f t="shared" si="2"/>
        <v>sa-19-3</v>
      </c>
      <c r="C143" t="s">
        <v>343</v>
      </c>
      <c r="D143" t="s">
        <v>57</v>
      </c>
      <c r="E143">
        <v>4</v>
      </c>
      <c r="F143" s="6">
        <f>VLOOKUP(D143,Products!A$2:C$101,3,FALSE)*E143</f>
        <v>140</v>
      </c>
      <c r="G143" t="s">
        <v>400</v>
      </c>
    </row>
    <row r="144" spans="1:7" x14ac:dyDescent="0.25">
      <c r="A144" s="3">
        <v>44094</v>
      </c>
      <c r="B144" s="2" t="str">
        <f t="shared" si="2"/>
        <v>sa-20-9</v>
      </c>
      <c r="C144" t="s">
        <v>327</v>
      </c>
      <c r="D144" t="s">
        <v>11</v>
      </c>
      <c r="E144">
        <v>5</v>
      </c>
      <c r="F144" s="6">
        <f>VLOOKUP(D144,Products!A$2:C$101,3,FALSE)*E144</f>
        <v>390</v>
      </c>
      <c r="G144" t="s">
        <v>396</v>
      </c>
    </row>
    <row r="145" spans="1:7" x14ac:dyDescent="0.25">
      <c r="A145" s="3">
        <v>44470</v>
      </c>
      <c r="B145" s="2" t="str">
        <f t="shared" si="2"/>
        <v>sa-1-10</v>
      </c>
      <c r="C145" t="s">
        <v>345</v>
      </c>
      <c r="D145" t="s">
        <v>36</v>
      </c>
      <c r="E145">
        <v>5</v>
      </c>
      <c r="F145" s="6">
        <f>VLOOKUP(D145,Products!A$2:C$101,3,FALSE)*E145</f>
        <v>170</v>
      </c>
      <c r="G145" t="s">
        <v>397</v>
      </c>
    </row>
    <row r="146" spans="1:7" x14ac:dyDescent="0.25">
      <c r="A146" s="3">
        <v>44167</v>
      </c>
      <c r="B146" s="2" t="str">
        <f t="shared" si="2"/>
        <v>sa-2-12</v>
      </c>
      <c r="C146" t="s">
        <v>336</v>
      </c>
      <c r="D146" t="s">
        <v>4</v>
      </c>
      <c r="E146">
        <v>5</v>
      </c>
      <c r="F146" s="6">
        <f>VLOOKUP(D146,Products!A$2:C$101,3,FALSE)*E146</f>
        <v>355</v>
      </c>
      <c r="G146" t="s">
        <v>404</v>
      </c>
    </row>
    <row r="147" spans="1:7" x14ac:dyDescent="0.25">
      <c r="A147" s="3">
        <v>44702</v>
      </c>
      <c r="B147" s="2" t="str">
        <f t="shared" si="2"/>
        <v>sa-21-5</v>
      </c>
      <c r="C147" t="s">
        <v>352</v>
      </c>
      <c r="D147" t="s">
        <v>35</v>
      </c>
      <c r="E147">
        <v>2</v>
      </c>
      <c r="F147" s="6">
        <f>VLOOKUP(D147,Products!A$2:C$101,3,FALSE)*E147</f>
        <v>60</v>
      </c>
      <c r="G147" t="s">
        <v>398</v>
      </c>
    </row>
    <row r="148" spans="1:7" x14ac:dyDescent="0.25">
      <c r="A148" s="3">
        <v>44105</v>
      </c>
      <c r="B148" s="2" t="str">
        <f t="shared" si="2"/>
        <v>sa-1-10</v>
      </c>
      <c r="C148" t="s">
        <v>353</v>
      </c>
      <c r="D148" t="s">
        <v>25</v>
      </c>
      <c r="E148">
        <v>3</v>
      </c>
      <c r="F148" s="6">
        <f>VLOOKUP(D148,Products!A$2:C$101,3,FALSE)*E148</f>
        <v>99</v>
      </c>
      <c r="G148" t="s">
        <v>400</v>
      </c>
    </row>
    <row r="149" spans="1:7" x14ac:dyDescent="0.25">
      <c r="A149" s="3">
        <v>44418</v>
      </c>
      <c r="B149" s="2" t="str">
        <f t="shared" si="2"/>
        <v>sa-10-8</v>
      </c>
      <c r="C149" t="s">
        <v>341</v>
      </c>
      <c r="D149" t="s">
        <v>70</v>
      </c>
      <c r="E149">
        <v>6</v>
      </c>
      <c r="F149" s="6">
        <f>VLOOKUP(D149,Products!A$2:C$101,3,FALSE)*E149</f>
        <v>210</v>
      </c>
      <c r="G149" t="s">
        <v>403</v>
      </c>
    </row>
    <row r="150" spans="1:7" x14ac:dyDescent="0.25">
      <c r="A150" s="3">
        <v>44227</v>
      </c>
      <c r="B150" s="2" t="str">
        <f t="shared" si="2"/>
        <v>sa-31-1</v>
      </c>
      <c r="C150" t="s">
        <v>332</v>
      </c>
      <c r="D150" t="s">
        <v>84</v>
      </c>
      <c r="E150">
        <v>4</v>
      </c>
      <c r="F150" s="6">
        <f>VLOOKUP(D150,Products!A$2:C$101,3,FALSE)*E150</f>
        <v>140</v>
      </c>
      <c r="G150" t="s">
        <v>408</v>
      </c>
    </row>
    <row r="151" spans="1:7" x14ac:dyDescent="0.25">
      <c r="A151" s="3">
        <v>44142</v>
      </c>
      <c r="B151" s="2" t="str">
        <f t="shared" si="2"/>
        <v>sa-7-11</v>
      </c>
      <c r="C151" t="s">
        <v>353</v>
      </c>
      <c r="D151" t="s">
        <v>67</v>
      </c>
      <c r="E151">
        <v>5</v>
      </c>
      <c r="F151" s="6">
        <f>VLOOKUP(D151,Products!A$2:C$101,3,FALSE)*E151</f>
        <v>160</v>
      </c>
      <c r="G151" t="s">
        <v>405</v>
      </c>
    </row>
    <row r="152" spans="1:7" x14ac:dyDescent="0.25">
      <c r="A152" s="3">
        <v>44052</v>
      </c>
      <c r="B152" s="2" t="str">
        <f t="shared" si="2"/>
        <v>sa-9-8</v>
      </c>
      <c r="C152" t="s">
        <v>337</v>
      </c>
      <c r="D152" t="s">
        <v>87</v>
      </c>
      <c r="E152">
        <v>2</v>
      </c>
      <c r="F152" s="6">
        <f>VLOOKUP(D152,Products!A$2:C$101,3,FALSE)*E152</f>
        <v>26</v>
      </c>
      <c r="G152" t="s">
        <v>408</v>
      </c>
    </row>
    <row r="153" spans="1:7" x14ac:dyDescent="0.25">
      <c r="A153" s="3">
        <v>44386</v>
      </c>
      <c r="B153" s="2" t="str">
        <f t="shared" si="2"/>
        <v>sa-9-7</v>
      </c>
      <c r="C153" t="s">
        <v>308</v>
      </c>
      <c r="D153" t="s">
        <v>35</v>
      </c>
      <c r="E153">
        <v>2</v>
      </c>
      <c r="F153" s="6">
        <f>VLOOKUP(D153,Products!A$2:C$101,3,FALSE)*E153</f>
        <v>60</v>
      </c>
      <c r="G153" t="s">
        <v>399</v>
      </c>
    </row>
    <row r="154" spans="1:7" x14ac:dyDescent="0.25">
      <c r="A154" s="3">
        <v>44578</v>
      </c>
      <c r="B154" s="2" t="str">
        <f t="shared" si="2"/>
        <v>sa-17-1</v>
      </c>
      <c r="C154" t="s">
        <v>322</v>
      </c>
      <c r="D154" t="s">
        <v>23</v>
      </c>
      <c r="E154">
        <v>5</v>
      </c>
      <c r="F154" s="6">
        <f>VLOOKUP(D154,Products!A$2:C$101,3,FALSE)*E154</f>
        <v>155</v>
      </c>
      <c r="G154" t="s">
        <v>408</v>
      </c>
    </row>
    <row r="155" spans="1:7" x14ac:dyDescent="0.25">
      <c r="A155" s="3">
        <v>44674</v>
      </c>
      <c r="B155" s="2" t="str">
        <f t="shared" si="2"/>
        <v>sa-23-4</v>
      </c>
      <c r="C155" t="s">
        <v>344</v>
      </c>
      <c r="D155" t="s">
        <v>6</v>
      </c>
      <c r="E155">
        <v>6</v>
      </c>
      <c r="F155" s="6">
        <f>VLOOKUP(D155,Products!A$2:C$101,3,FALSE)*E155</f>
        <v>414</v>
      </c>
      <c r="G155" t="s">
        <v>402</v>
      </c>
    </row>
    <row r="156" spans="1:7" x14ac:dyDescent="0.25">
      <c r="A156" s="3">
        <v>44570</v>
      </c>
      <c r="B156" s="2" t="str">
        <f t="shared" si="2"/>
        <v>sa-9-1</v>
      </c>
      <c r="C156" t="s">
        <v>335</v>
      </c>
      <c r="D156" t="s">
        <v>8</v>
      </c>
      <c r="E156">
        <v>3</v>
      </c>
      <c r="F156" s="6">
        <f>VLOOKUP(D156,Products!A$2:C$101,3,FALSE)*E156</f>
        <v>189</v>
      </c>
      <c r="G156" t="s">
        <v>398</v>
      </c>
    </row>
    <row r="157" spans="1:7" x14ac:dyDescent="0.25">
      <c r="A157" s="3">
        <v>44161</v>
      </c>
      <c r="B157" s="2" t="str">
        <f t="shared" si="2"/>
        <v>sa-26-11</v>
      </c>
      <c r="C157" t="s">
        <v>335</v>
      </c>
      <c r="D157" t="s">
        <v>5</v>
      </c>
      <c r="E157">
        <v>2</v>
      </c>
      <c r="F157" s="6">
        <f>VLOOKUP(D157,Products!A$2:C$101,3,FALSE)*E157</f>
        <v>160</v>
      </c>
      <c r="G157" t="s">
        <v>395</v>
      </c>
    </row>
    <row r="158" spans="1:7" x14ac:dyDescent="0.25">
      <c r="A158" s="3">
        <v>44481</v>
      </c>
      <c r="B158" s="2" t="str">
        <f t="shared" si="2"/>
        <v>sa-12-10</v>
      </c>
      <c r="C158" t="s">
        <v>326</v>
      </c>
      <c r="D158" t="s">
        <v>34</v>
      </c>
      <c r="E158">
        <v>3</v>
      </c>
      <c r="F158" s="6">
        <f>VLOOKUP(D158,Products!A$2:C$101,3,FALSE)*E158</f>
        <v>105</v>
      </c>
      <c r="G158" t="s">
        <v>396</v>
      </c>
    </row>
    <row r="159" spans="1:7" x14ac:dyDescent="0.25">
      <c r="A159" s="3">
        <v>44155</v>
      </c>
      <c r="B159" s="2" t="str">
        <f t="shared" si="2"/>
        <v>sa-20-11</v>
      </c>
      <c r="C159" t="s">
        <v>354</v>
      </c>
      <c r="D159" t="s">
        <v>98</v>
      </c>
      <c r="E159">
        <v>6</v>
      </c>
      <c r="F159" s="6">
        <f>VLOOKUP(D159,Products!A$2:C$101,3,FALSE)*E159</f>
        <v>114</v>
      </c>
      <c r="G159" t="s">
        <v>397</v>
      </c>
    </row>
    <row r="160" spans="1:7" x14ac:dyDescent="0.25">
      <c r="A160" s="3">
        <v>44555</v>
      </c>
      <c r="B160" s="2" t="str">
        <f t="shared" si="2"/>
        <v>sa-25-12</v>
      </c>
      <c r="C160" t="s">
        <v>344</v>
      </c>
      <c r="D160" t="s">
        <v>86</v>
      </c>
      <c r="E160">
        <v>5</v>
      </c>
      <c r="F160" s="6">
        <f>VLOOKUP(D160,Products!A$2:C$101,3,FALSE)*E160</f>
        <v>170</v>
      </c>
      <c r="G160" t="s">
        <v>401</v>
      </c>
    </row>
    <row r="161" spans="1:7" x14ac:dyDescent="0.25">
      <c r="A161" s="3">
        <v>44019</v>
      </c>
      <c r="B161" s="2" t="str">
        <f t="shared" si="2"/>
        <v>sa-7-7</v>
      </c>
      <c r="C161" t="s">
        <v>337</v>
      </c>
      <c r="D161" t="s">
        <v>24</v>
      </c>
      <c r="E161">
        <v>6</v>
      </c>
      <c r="F161" s="6">
        <f>VLOOKUP(D161,Products!A$2:C$101,3,FALSE)*E161</f>
        <v>198</v>
      </c>
      <c r="G161" t="s">
        <v>406</v>
      </c>
    </row>
    <row r="162" spans="1:7" x14ac:dyDescent="0.25">
      <c r="A162" s="3">
        <v>44361</v>
      </c>
      <c r="B162" s="2" t="str">
        <f t="shared" si="2"/>
        <v>sa-14-6</v>
      </c>
      <c r="C162" t="s">
        <v>315</v>
      </c>
      <c r="D162" t="s">
        <v>54</v>
      </c>
      <c r="E162">
        <v>6</v>
      </c>
      <c r="F162" s="6">
        <f>VLOOKUP(D162,Products!A$2:C$101,3,FALSE)*E162</f>
        <v>210</v>
      </c>
      <c r="G162" t="s">
        <v>398</v>
      </c>
    </row>
    <row r="163" spans="1:7" x14ac:dyDescent="0.25">
      <c r="A163" s="3">
        <v>44089</v>
      </c>
      <c r="B163" s="2" t="str">
        <f t="shared" si="2"/>
        <v>sa-15-9</v>
      </c>
      <c r="C163" t="s">
        <v>325</v>
      </c>
      <c r="D163" t="s">
        <v>56</v>
      </c>
      <c r="E163">
        <v>6</v>
      </c>
      <c r="F163" s="6">
        <f>VLOOKUP(D163,Products!A$2:C$101,3,FALSE)*E163</f>
        <v>180</v>
      </c>
      <c r="G163" t="s">
        <v>402</v>
      </c>
    </row>
    <row r="164" spans="1:7" x14ac:dyDescent="0.25">
      <c r="A164" s="3">
        <v>44394</v>
      </c>
      <c r="B164" s="2" t="str">
        <f t="shared" si="2"/>
        <v>sa-17-7</v>
      </c>
      <c r="C164" t="s">
        <v>307</v>
      </c>
      <c r="D164" t="s">
        <v>26</v>
      </c>
      <c r="E164">
        <v>2</v>
      </c>
      <c r="F164" s="6">
        <f>VLOOKUP(D164,Products!A$2:C$101,3,FALSE)*E164</f>
        <v>66</v>
      </c>
      <c r="G164" t="s">
        <v>407</v>
      </c>
    </row>
    <row r="165" spans="1:7" x14ac:dyDescent="0.25">
      <c r="A165" s="3">
        <v>44226</v>
      </c>
      <c r="B165" s="2" t="str">
        <f t="shared" si="2"/>
        <v>sa-30-1</v>
      </c>
      <c r="C165" t="s">
        <v>317</v>
      </c>
      <c r="D165" t="s">
        <v>20</v>
      </c>
      <c r="E165">
        <v>6</v>
      </c>
      <c r="F165" s="6">
        <f>VLOOKUP(D165,Products!A$2:C$101,3,FALSE)*E165</f>
        <v>198</v>
      </c>
      <c r="G165" t="s">
        <v>399</v>
      </c>
    </row>
    <row r="166" spans="1:7" x14ac:dyDescent="0.25">
      <c r="A166" s="3">
        <v>44364</v>
      </c>
      <c r="B166" s="2" t="str">
        <f t="shared" si="2"/>
        <v>sa-17-6</v>
      </c>
      <c r="C166" t="s">
        <v>339</v>
      </c>
      <c r="D166" t="s">
        <v>85</v>
      </c>
      <c r="E166">
        <v>6</v>
      </c>
      <c r="F166" s="6">
        <f>VLOOKUP(D166,Products!A$2:C$101,3,FALSE)*E166</f>
        <v>198</v>
      </c>
      <c r="G166" t="s">
        <v>400</v>
      </c>
    </row>
    <row r="167" spans="1:7" x14ac:dyDescent="0.25">
      <c r="A167" s="3">
        <v>44123</v>
      </c>
      <c r="B167" s="2" t="str">
        <f t="shared" si="2"/>
        <v>sa-19-10</v>
      </c>
      <c r="C167" t="s">
        <v>328</v>
      </c>
      <c r="D167" t="s">
        <v>5</v>
      </c>
      <c r="E167">
        <v>5</v>
      </c>
      <c r="F167" s="6">
        <f>VLOOKUP(D167,Products!A$2:C$101,3,FALSE)*E167</f>
        <v>400</v>
      </c>
      <c r="G167" t="s">
        <v>396</v>
      </c>
    </row>
    <row r="168" spans="1:7" x14ac:dyDescent="0.25">
      <c r="A168" s="3">
        <v>44440</v>
      </c>
      <c r="B168" s="2" t="str">
        <f t="shared" si="2"/>
        <v>sa-1-9</v>
      </c>
      <c r="C168" t="s">
        <v>334</v>
      </c>
      <c r="D168" t="s">
        <v>10</v>
      </c>
      <c r="E168">
        <v>5</v>
      </c>
      <c r="F168" s="6">
        <f>VLOOKUP(D168,Products!A$2:C$101,3,FALSE)*E168</f>
        <v>360</v>
      </c>
      <c r="G168" t="s">
        <v>399</v>
      </c>
    </row>
    <row r="169" spans="1:7" x14ac:dyDescent="0.25">
      <c r="A169" s="3">
        <v>44239</v>
      </c>
      <c r="B169" s="2" t="str">
        <f t="shared" si="2"/>
        <v>sa-12-2</v>
      </c>
      <c r="C169" t="s">
        <v>345</v>
      </c>
      <c r="D169" t="s">
        <v>35</v>
      </c>
      <c r="E169">
        <v>3</v>
      </c>
      <c r="F169" s="6">
        <f>VLOOKUP(D169,Products!A$2:C$101,3,FALSE)*E169</f>
        <v>90</v>
      </c>
      <c r="G169" t="s">
        <v>405</v>
      </c>
    </row>
    <row r="170" spans="1:7" x14ac:dyDescent="0.25">
      <c r="A170" s="3">
        <v>44285</v>
      </c>
      <c r="B170" s="2" t="str">
        <f t="shared" si="2"/>
        <v>sa-30-3</v>
      </c>
      <c r="C170" t="s">
        <v>317</v>
      </c>
      <c r="D170" t="s">
        <v>4</v>
      </c>
      <c r="E170">
        <v>3</v>
      </c>
      <c r="F170" s="6">
        <f>VLOOKUP(D170,Products!A$2:C$101,3,FALSE)*E170</f>
        <v>213</v>
      </c>
      <c r="G170" t="s">
        <v>402</v>
      </c>
    </row>
    <row r="171" spans="1:7" x14ac:dyDescent="0.25">
      <c r="A171" s="3">
        <v>44476</v>
      </c>
      <c r="B171" s="2" t="str">
        <f t="shared" si="2"/>
        <v>sa-7-10</v>
      </c>
      <c r="C171" t="s">
        <v>340</v>
      </c>
      <c r="D171" t="s">
        <v>35</v>
      </c>
      <c r="E171">
        <v>2</v>
      </c>
      <c r="F171" s="6">
        <f>VLOOKUP(D171,Products!A$2:C$101,3,FALSE)*E171</f>
        <v>60</v>
      </c>
      <c r="G171" t="s">
        <v>397</v>
      </c>
    </row>
    <row r="172" spans="1:7" x14ac:dyDescent="0.25">
      <c r="A172" s="3">
        <v>44662</v>
      </c>
      <c r="B172" s="2" t="str">
        <f t="shared" si="2"/>
        <v>sa-11-4</v>
      </c>
      <c r="C172" t="s">
        <v>313</v>
      </c>
      <c r="D172" t="s">
        <v>73</v>
      </c>
      <c r="E172">
        <v>5</v>
      </c>
      <c r="F172" s="6">
        <f>VLOOKUP(D172,Products!A$2:C$101,3,FALSE)*E172</f>
        <v>175</v>
      </c>
      <c r="G172" t="s">
        <v>402</v>
      </c>
    </row>
    <row r="173" spans="1:7" x14ac:dyDescent="0.25">
      <c r="A173" s="3">
        <v>44638</v>
      </c>
      <c r="B173" s="2" t="str">
        <f t="shared" si="2"/>
        <v>sa-18-3</v>
      </c>
      <c r="C173" t="s">
        <v>311</v>
      </c>
      <c r="D173" t="s">
        <v>13</v>
      </c>
      <c r="E173">
        <v>2</v>
      </c>
      <c r="F173" s="6">
        <f>VLOOKUP(D173,Products!A$2:C$101,3,FALSE)*E173</f>
        <v>142</v>
      </c>
      <c r="G173" t="s">
        <v>396</v>
      </c>
    </row>
    <row r="174" spans="1:7" x14ac:dyDescent="0.25">
      <c r="A174" s="3">
        <v>43895</v>
      </c>
      <c r="B174" s="2" t="str">
        <f t="shared" si="2"/>
        <v>sa-5-3</v>
      </c>
      <c r="C174" t="s">
        <v>351</v>
      </c>
      <c r="D174" t="s">
        <v>94</v>
      </c>
      <c r="E174">
        <v>5</v>
      </c>
      <c r="F174" s="6">
        <f>VLOOKUP(D174,Products!A$2:C$101,3,FALSE)*E174</f>
        <v>95</v>
      </c>
      <c r="G174" t="s">
        <v>395</v>
      </c>
    </row>
    <row r="175" spans="1:7" x14ac:dyDescent="0.25">
      <c r="A175" s="3">
        <v>44284</v>
      </c>
      <c r="B175" s="2" t="str">
        <f t="shared" si="2"/>
        <v>sa-29-3</v>
      </c>
      <c r="C175" t="s">
        <v>354</v>
      </c>
      <c r="D175" t="s">
        <v>22</v>
      </c>
      <c r="E175">
        <v>3</v>
      </c>
      <c r="F175" s="6">
        <f>VLOOKUP(D175,Products!A$2:C$101,3,FALSE)*E175</f>
        <v>102</v>
      </c>
      <c r="G175" t="s">
        <v>398</v>
      </c>
    </row>
    <row r="176" spans="1:7" x14ac:dyDescent="0.25">
      <c r="A176" s="3">
        <v>44663</v>
      </c>
      <c r="B176" s="2" t="str">
        <f t="shared" si="2"/>
        <v>sa-12-4</v>
      </c>
      <c r="C176" t="s">
        <v>353</v>
      </c>
      <c r="D176" t="s">
        <v>92</v>
      </c>
      <c r="E176">
        <v>2</v>
      </c>
      <c r="F176" s="6">
        <f>VLOOKUP(D176,Products!A$2:C$101,3,FALSE)*E176</f>
        <v>28</v>
      </c>
      <c r="G176" t="s">
        <v>405</v>
      </c>
    </row>
    <row r="177" spans="1:7" x14ac:dyDescent="0.25">
      <c r="A177" s="3">
        <v>44441</v>
      </c>
      <c r="B177" s="2" t="str">
        <f t="shared" si="2"/>
        <v>sa-2-9</v>
      </c>
      <c r="C177" t="s">
        <v>320</v>
      </c>
      <c r="D177" t="s">
        <v>50</v>
      </c>
      <c r="E177">
        <v>4</v>
      </c>
      <c r="F177" s="6">
        <f>VLOOKUP(D177,Products!A$2:C$101,3,FALSE)*E177</f>
        <v>128</v>
      </c>
      <c r="G177" t="s">
        <v>403</v>
      </c>
    </row>
    <row r="178" spans="1:7" x14ac:dyDescent="0.25">
      <c r="A178" s="3">
        <v>43975</v>
      </c>
      <c r="B178" s="2" t="str">
        <f t="shared" si="2"/>
        <v>sa-24-5</v>
      </c>
      <c r="C178" t="s">
        <v>353</v>
      </c>
      <c r="D178" t="s">
        <v>5</v>
      </c>
      <c r="E178">
        <v>6</v>
      </c>
      <c r="F178" s="6">
        <f>VLOOKUP(D178,Products!A$2:C$101,3,FALSE)*E178</f>
        <v>480</v>
      </c>
      <c r="G178" t="s">
        <v>397</v>
      </c>
    </row>
    <row r="179" spans="1:7" x14ac:dyDescent="0.25">
      <c r="A179" s="3">
        <v>43920</v>
      </c>
      <c r="B179" s="2" t="str">
        <f t="shared" si="2"/>
        <v>sa-30-3</v>
      </c>
      <c r="C179" t="s">
        <v>335</v>
      </c>
      <c r="D179" t="s">
        <v>45</v>
      </c>
      <c r="E179">
        <v>4</v>
      </c>
      <c r="F179" s="6">
        <f>VLOOKUP(D179,Products!A$2:C$101,3,FALSE)*E179</f>
        <v>120</v>
      </c>
      <c r="G179" t="s">
        <v>402</v>
      </c>
    </row>
    <row r="180" spans="1:7" x14ac:dyDescent="0.25">
      <c r="A180" s="3">
        <v>44299</v>
      </c>
      <c r="B180" s="2" t="str">
        <f t="shared" si="2"/>
        <v>sa-13-4</v>
      </c>
      <c r="C180" t="s">
        <v>352</v>
      </c>
      <c r="D180" t="s">
        <v>96</v>
      </c>
      <c r="E180">
        <v>3</v>
      </c>
      <c r="F180" s="6">
        <f>VLOOKUP(D180,Products!A$2:C$101,3,FALSE)*E180</f>
        <v>30</v>
      </c>
      <c r="G180" t="s">
        <v>399</v>
      </c>
    </row>
    <row r="181" spans="1:7" x14ac:dyDescent="0.25">
      <c r="A181" s="3">
        <v>44316</v>
      </c>
      <c r="B181" s="2" t="str">
        <f t="shared" si="2"/>
        <v>sa-30-4</v>
      </c>
      <c r="C181" t="s">
        <v>335</v>
      </c>
      <c r="D181" t="s">
        <v>83</v>
      </c>
      <c r="E181">
        <v>3</v>
      </c>
      <c r="F181" s="6">
        <f>VLOOKUP(D181,Products!A$2:C$101,3,FALSE)*E181</f>
        <v>90</v>
      </c>
      <c r="G181" t="s">
        <v>401</v>
      </c>
    </row>
    <row r="182" spans="1:7" x14ac:dyDescent="0.25">
      <c r="A182" s="3">
        <v>44684</v>
      </c>
      <c r="B182" s="2" t="str">
        <f t="shared" si="2"/>
        <v>sa-3-5</v>
      </c>
      <c r="C182" t="s">
        <v>349</v>
      </c>
      <c r="D182" t="s">
        <v>85</v>
      </c>
      <c r="E182">
        <v>2</v>
      </c>
      <c r="F182" s="6">
        <f>VLOOKUP(D182,Products!A$2:C$101,3,FALSE)*E182</f>
        <v>66</v>
      </c>
      <c r="G182" t="s">
        <v>395</v>
      </c>
    </row>
    <row r="183" spans="1:7" x14ac:dyDescent="0.25">
      <c r="A183" s="3">
        <v>44590</v>
      </c>
      <c r="B183" s="2" t="str">
        <f t="shared" si="2"/>
        <v>sa-29-1</v>
      </c>
      <c r="C183" t="s">
        <v>325</v>
      </c>
      <c r="D183" t="s">
        <v>11</v>
      </c>
      <c r="E183">
        <v>6</v>
      </c>
      <c r="F183" s="6">
        <f>VLOOKUP(D183,Products!A$2:C$101,3,FALSE)*E183</f>
        <v>468</v>
      </c>
      <c r="G183" t="s">
        <v>396</v>
      </c>
    </row>
    <row r="184" spans="1:7" x14ac:dyDescent="0.25">
      <c r="A184" s="3">
        <v>44487</v>
      </c>
      <c r="B184" s="2" t="str">
        <f t="shared" si="2"/>
        <v>sa-18-10</v>
      </c>
      <c r="C184" t="s">
        <v>335</v>
      </c>
      <c r="D184" t="s">
        <v>23</v>
      </c>
      <c r="E184">
        <v>6</v>
      </c>
      <c r="F184" s="6">
        <f>VLOOKUP(D184,Products!A$2:C$101,3,FALSE)*E184</f>
        <v>186</v>
      </c>
      <c r="G184" t="s">
        <v>396</v>
      </c>
    </row>
    <row r="185" spans="1:7" x14ac:dyDescent="0.25">
      <c r="A185" s="3">
        <v>43912</v>
      </c>
      <c r="B185" s="2" t="str">
        <f t="shared" si="2"/>
        <v>sa-22-3</v>
      </c>
      <c r="C185" t="s">
        <v>309</v>
      </c>
      <c r="D185" t="s">
        <v>86</v>
      </c>
      <c r="E185">
        <v>6</v>
      </c>
      <c r="F185" s="6">
        <f>VLOOKUP(D185,Products!A$2:C$101,3,FALSE)*E185</f>
        <v>204</v>
      </c>
      <c r="G185" t="s">
        <v>395</v>
      </c>
    </row>
    <row r="186" spans="1:7" x14ac:dyDescent="0.25">
      <c r="A186" s="3">
        <v>43900</v>
      </c>
      <c r="B186" s="2" t="str">
        <f t="shared" si="2"/>
        <v>sa-10-3</v>
      </c>
      <c r="C186" t="s">
        <v>308</v>
      </c>
      <c r="D186" t="s">
        <v>90</v>
      </c>
      <c r="E186">
        <v>5</v>
      </c>
      <c r="F186" s="6">
        <f>VLOOKUP(D186,Products!A$2:C$101,3,FALSE)*E186</f>
        <v>50</v>
      </c>
      <c r="G186" t="s">
        <v>405</v>
      </c>
    </row>
    <row r="187" spans="1:7" x14ac:dyDescent="0.25">
      <c r="A187" s="3">
        <v>44075</v>
      </c>
      <c r="B187" s="2" t="str">
        <f t="shared" si="2"/>
        <v>sa-1-9</v>
      </c>
      <c r="C187" t="s">
        <v>330</v>
      </c>
      <c r="D187" t="s">
        <v>17</v>
      </c>
      <c r="E187">
        <v>3</v>
      </c>
      <c r="F187" s="6">
        <f>VLOOKUP(D187,Products!A$2:C$101,3,FALSE)*E187</f>
        <v>96</v>
      </c>
      <c r="G187" t="s">
        <v>400</v>
      </c>
    </row>
    <row r="188" spans="1:7" x14ac:dyDescent="0.25">
      <c r="A188" s="3">
        <v>44111</v>
      </c>
      <c r="B188" s="2" t="str">
        <f t="shared" si="2"/>
        <v>sa-7-10</v>
      </c>
      <c r="C188" t="s">
        <v>327</v>
      </c>
      <c r="D188" t="s">
        <v>2</v>
      </c>
      <c r="E188">
        <v>2</v>
      </c>
      <c r="F188" s="6">
        <f>VLOOKUP(D188,Products!A$2:C$101,3,FALSE)*E188</f>
        <v>132</v>
      </c>
      <c r="G188" t="s">
        <v>407</v>
      </c>
    </row>
    <row r="189" spans="1:7" x14ac:dyDescent="0.25">
      <c r="A189" s="3">
        <v>44161</v>
      </c>
      <c r="B189" s="2" t="str">
        <f t="shared" si="2"/>
        <v>sa-26-11</v>
      </c>
      <c r="C189" t="s">
        <v>313</v>
      </c>
      <c r="D189" t="s">
        <v>91</v>
      </c>
      <c r="E189">
        <v>5</v>
      </c>
      <c r="F189" s="6">
        <f>VLOOKUP(D189,Products!A$2:C$101,3,FALSE)*E189</f>
        <v>85</v>
      </c>
      <c r="G189" t="s">
        <v>406</v>
      </c>
    </row>
    <row r="190" spans="1:7" x14ac:dyDescent="0.25">
      <c r="A190" s="3">
        <v>44538</v>
      </c>
      <c r="B190" s="2" t="str">
        <f t="shared" si="2"/>
        <v>sa-8-12</v>
      </c>
      <c r="C190" t="s">
        <v>340</v>
      </c>
      <c r="D190" t="s">
        <v>43</v>
      </c>
      <c r="E190">
        <v>5</v>
      </c>
      <c r="F190" s="6">
        <f>VLOOKUP(D190,Products!A$2:C$101,3,FALSE)*E190</f>
        <v>165</v>
      </c>
      <c r="G190" t="s">
        <v>401</v>
      </c>
    </row>
    <row r="191" spans="1:7" x14ac:dyDescent="0.25">
      <c r="A191" s="3">
        <v>44473</v>
      </c>
      <c r="B191" s="2" t="str">
        <f t="shared" si="2"/>
        <v>sa-4-10</v>
      </c>
      <c r="C191" t="s">
        <v>350</v>
      </c>
      <c r="D191" t="s">
        <v>28</v>
      </c>
      <c r="E191">
        <v>3</v>
      </c>
      <c r="F191" s="6">
        <f>VLOOKUP(D191,Products!A$2:C$101,3,FALSE)*E191</f>
        <v>90</v>
      </c>
      <c r="G191" t="s">
        <v>408</v>
      </c>
    </row>
    <row r="192" spans="1:7" x14ac:dyDescent="0.25">
      <c r="A192" s="3">
        <v>44180</v>
      </c>
      <c r="B192" s="2" t="str">
        <f t="shared" si="2"/>
        <v>sa-15-12</v>
      </c>
      <c r="C192" t="s">
        <v>318</v>
      </c>
      <c r="D192" t="s">
        <v>62</v>
      </c>
      <c r="E192">
        <v>5</v>
      </c>
      <c r="F192" s="6">
        <f>VLOOKUP(D192,Products!A$2:C$101,3,FALSE)*E192</f>
        <v>160</v>
      </c>
      <c r="G192" t="s">
        <v>405</v>
      </c>
    </row>
    <row r="193" spans="1:7" x14ac:dyDescent="0.25">
      <c r="A193" s="3">
        <v>43902</v>
      </c>
      <c r="B193" s="2" t="str">
        <f t="shared" si="2"/>
        <v>sa-12-3</v>
      </c>
      <c r="C193" t="s">
        <v>335</v>
      </c>
      <c r="D193" t="s">
        <v>60</v>
      </c>
      <c r="E193">
        <v>4</v>
      </c>
      <c r="F193" s="6">
        <f>VLOOKUP(D193,Products!A$2:C$101,3,FALSE)*E193</f>
        <v>120</v>
      </c>
      <c r="G193" t="s">
        <v>396</v>
      </c>
    </row>
    <row r="194" spans="1:7" x14ac:dyDescent="0.25">
      <c r="A194" s="3">
        <v>44230</v>
      </c>
      <c r="B194" s="2" t="str">
        <f t="shared" si="2"/>
        <v>sa-3-2</v>
      </c>
      <c r="C194" t="s">
        <v>352</v>
      </c>
      <c r="D194" t="s">
        <v>19</v>
      </c>
      <c r="E194">
        <v>5</v>
      </c>
      <c r="F194" s="6">
        <f>VLOOKUP(D194,Products!A$2:C$101,3,FALSE)*E194</f>
        <v>165</v>
      </c>
      <c r="G194" t="s">
        <v>403</v>
      </c>
    </row>
    <row r="195" spans="1:7" x14ac:dyDescent="0.25">
      <c r="A195" s="3">
        <v>44149</v>
      </c>
      <c r="B195" s="2" t="str">
        <f t="shared" ref="B195:B258" si="3">"sa-"&amp;DAY(A195)&amp;"-"&amp;MONTH(A195)</f>
        <v>sa-14-11</v>
      </c>
      <c r="C195" t="s">
        <v>314</v>
      </c>
      <c r="D195" t="s">
        <v>14</v>
      </c>
      <c r="E195">
        <v>2</v>
      </c>
      <c r="F195" s="6">
        <f>VLOOKUP(D195,Products!A$2:C$101,3,FALSE)*E195</f>
        <v>158</v>
      </c>
      <c r="G195" t="s">
        <v>398</v>
      </c>
    </row>
    <row r="196" spans="1:7" x14ac:dyDescent="0.25">
      <c r="A196" s="3">
        <v>44509</v>
      </c>
      <c r="B196" s="2" t="str">
        <f t="shared" si="3"/>
        <v>sa-9-11</v>
      </c>
      <c r="C196" t="s">
        <v>313</v>
      </c>
      <c r="D196" t="s">
        <v>58</v>
      </c>
      <c r="E196">
        <v>3</v>
      </c>
      <c r="F196" s="6">
        <f>VLOOKUP(D196,Products!A$2:C$101,3,FALSE)*E196</f>
        <v>105</v>
      </c>
      <c r="G196" t="s">
        <v>399</v>
      </c>
    </row>
    <row r="197" spans="1:7" x14ac:dyDescent="0.25">
      <c r="A197" s="3">
        <v>44715</v>
      </c>
      <c r="B197" s="2" t="str">
        <f t="shared" si="3"/>
        <v>sa-3-6</v>
      </c>
      <c r="C197" t="s">
        <v>308</v>
      </c>
      <c r="D197" t="s">
        <v>13</v>
      </c>
      <c r="E197">
        <v>5</v>
      </c>
      <c r="F197" s="6">
        <f>VLOOKUP(D197,Products!A$2:C$101,3,FALSE)*E197</f>
        <v>355</v>
      </c>
      <c r="G197" t="s">
        <v>399</v>
      </c>
    </row>
    <row r="198" spans="1:7" x14ac:dyDescent="0.25">
      <c r="A198" s="3">
        <v>44370</v>
      </c>
      <c r="B198" s="2" t="str">
        <f t="shared" si="3"/>
        <v>sa-23-6</v>
      </c>
      <c r="C198" t="s">
        <v>313</v>
      </c>
      <c r="D198" t="s">
        <v>80</v>
      </c>
      <c r="E198">
        <v>6</v>
      </c>
      <c r="F198" s="6">
        <f>VLOOKUP(D198,Products!A$2:C$101,3,FALSE)*E198</f>
        <v>186</v>
      </c>
      <c r="G198" t="s">
        <v>407</v>
      </c>
    </row>
    <row r="199" spans="1:7" x14ac:dyDescent="0.25">
      <c r="A199" s="3">
        <v>43997</v>
      </c>
      <c r="B199" s="2" t="str">
        <f t="shared" si="3"/>
        <v>sa-15-6</v>
      </c>
      <c r="C199" t="s">
        <v>321</v>
      </c>
      <c r="D199" t="s">
        <v>26</v>
      </c>
      <c r="E199">
        <v>4</v>
      </c>
      <c r="F199" s="6">
        <f>VLOOKUP(D199,Products!A$2:C$101,3,FALSE)*E199</f>
        <v>132</v>
      </c>
      <c r="G199" t="s">
        <v>398</v>
      </c>
    </row>
    <row r="200" spans="1:7" x14ac:dyDescent="0.25">
      <c r="A200" s="3">
        <v>44302</v>
      </c>
      <c r="B200" s="2" t="str">
        <f t="shared" si="3"/>
        <v>sa-16-4</v>
      </c>
      <c r="C200" t="s">
        <v>337</v>
      </c>
      <c r="D200" t="s">
        <v>69</v>
      </c>
      <c r="E200">
        <v>6</v>
      </c>
      <c r="F200" s="6">
        <f>VLOOKUP(D200,Products!A$2:C$101,3,FALSE)*E200</f>
        <v>180</v>
      </c>
      <c r="G200" t="s">
        <v>398</v>
      </c>
    </row>
    <row r="201" spans="1:7" x14ac:dyDescent="0.25">
      <c r="A201" s="3">
        <v>44252</v>
      </c>
      <c r="B201" s="2" t="str">
        <f t="shared" si="3"/>
        <v>sa-25-2</v>
      </c>
      <c r="C201" t="s">
        <v>332</v>
      </c>
      <c r="D201" t="s">
        <v>5</v>
      </c>
      <c r="E201">
        <v>5</v>
      </c>
      <c r="F201" s="6">
        <f>VLOOKUP(D201,Products!A$2:C$101,3,FALSE)*E201</f>
        <v>400</v>
      </c>
      <c r="G201" t="s">
        <v>404</v>
      </c>
    </row>
    <row r="202" spans="1:7" x14ac:dyDescent="0.25">
      <c r="A202" s="3">
        <v>44269</v>
      </c>
      <c r="B202" s="2" t="str">
        <f t="shared" si="3"/>
        <v>sa-14-3</v>
      </c>
      <c r="C202" t="s">
        <v>349</v>
      </c>
      <c r="D202" t="s">
        <v>90</v>
      </c>
      <c r="E202">
        <v>3</v>
      </c>
      <c r="F202" s="6">
        <f>VLOOKUP(D202,Products!A$2:C$101,3,FALSE)*E202</f>
        <v>30</v>
      </c>
      <c r="G202" t="s">
        <v>395</v>
      </c>
    </row>
    <row r="203" spans="1:7" x14ac:dyDescent="0.25">
      <c r="A203" s="3">
        <v>44332</v>
      </c>
      <c r="B203" s="2" t="str">
        <f t="shared" si="3"/>
        <v>sa-16-5</v>
      </c>
      <c r="C203" t="s">
        <v>312</v>
      </c>
      <c r="D203" t="s">
        <v>4</v>
      </c>
      <c r="E203">
        <v>5</v>
      </c>
      <c r="F203" s="6">
        <f>VLOOKUP(D203,Products!A$2:C$101,3,FALSE)*E203</f>
        <v>355</v>
      </c>
      <c r="G203" t="s">
        <v>398</v>
      </c>
    </row>
    <row r="204" spans="1:7" x14ac:dyDescent="0.25">
      <c r="A204" s="3">
        <v>44359</v>
      </c>
      <c r="B204" s="2" t="str">
        <f t="shared" si="3"/>
        <v>sa-12-6</v>
      </c>
      <c r="C204" t="s">
        <v>316</v>
      </c>
      <c r="D204" t="s">
        <v>43</v>
      </c>
      <c r="E204">
        <v>5</v>
      </c>
      <c r="F204" s="6">
        <f>VLOOKUP(D204,Products!A$2:C$101,3,FALSE)*E204</f>
        <v>165</v>
      </c>
      <c r="G204" t="s">
        <v>398</v>
      </c>
    </row>
    <row r="205" spans="1:7" x14ac:dyDescent="0.25">
      <c r="A205" s="3">
        <v>44472</v>
      </c>
      <c r="B205" s="2" t="str">
        <f t="shared" si="3"/>
        <v>sa-3-10</v>
      </c>
      <c r="C205" t="s">
        <v>322</v>
      </c>
      <c r="D205" t="s">
        <v>7</v>
      </c>
      <c r="E205">
        <v>3</v>
      </c>
      <c r="F205" s="6">
        <f>VLOOKUP(D205,Products!A$2:C$101,3,FALSE)*E205</f>
        <v>222</v>
      </c>
      <c r="G205" t="s">
        <v>396</v>
      </c>
    </row>
    <row r="206" spans="1:7" x14ac:dyDescent="0.25">
      <c r="A206" s="3">
        <v>44490</v>
      </c>
      <c r="B206" s="2" t="str">
        <f t="shared" si="3"/>
        <v>sa-21-10</v>
      </c>
      <c r="C206" t="s">
        <v>327</v>
      </c>
      <c r="D206" t="s">
        <v>37</v>
      </c>
      <c r="E206">
        <v>2</v>
      </c>
      <c r="F206" s="6">
        <f>VLOOKUP(D206,Products!A$2:C$101,3,FALSE)*E206</f>
        <v>66</v>
      </c>
      <c r="G206" t="s">
        <v>396</v>
      </c>
    </row>
    <row r="207" spans="1:7" x14ac:dyDescent="0.25">
      <c r="A207" s="3">
        <v>44018</v>
      </c>
      <c r="B207" s="2" t="str">
        <f t="shared" si="3"/>
        <v>sa-6-7</v>
      </c>
      <c r="C207" t="s">
        <v>337</v>
      </c>
      <c r="D207" t="s">
        <v>55</v>
      </c>
      <c r="E207">
        <v>6</v>
      </c>
      <c r="F207" s="6">
        <f>VLOOKUP(D207,Products!A$2:C$101,3,FALSE)*E207</f>
        <v>192</v>
      </c>
      <c r="G207" t="s">
        <v>396</v>
      </c>
    </row>
    <row r="208" spans="1:7" x14ac:dyDescent="0.25">
      <c r="A208" s="3">
        <v>43882</v>
      </c>
      <c r="B208" s="2" t="str">
        <f t="shared" si="3"/>
        <v>sa-21-2</v>
      </c>
      <c r="C208" t="s">
        <v>351</v>
      </c>
      <c r="D208" t="s">
        <v>94</v>
      </c>
      <c r="E208">
        <v>3</v>
      </c>
      <c r="F208" s="6">
        <f>VLOOKUP(D208,Products!A$2:C$101,3,FALSE)*E208</f>
        <v>57</v>
      </c>
      <c r="G208" t="s">
        <v>399</v>
      </c>
    </row>
    <row r="209" spans="1:7" x14ac:dyDescent="0.25">
      <c r="A209" s="3">
        <v>44168</v>
      </c>
      <c r="B209" s="2" t="str">
        <f t="shared" si="3"/>
        <v>sa-3-12</v>
      </c>
      <c r="C209" t="s">
        <v>312</v>
      </c>
      <c r="D209" t="s">
        <v>42</v>
      </c>
      <c r="E209">
        <v>6</v>
      </c>
      <c r="F209" s="6">
        <f>VLOOKUP(D209,Products!A$2:C$101,3,FALSE)*E209</f>
        <v>204</v>
      </c>
      <c r="G209" t="s">
        <v>397</v>
      </c>
    </row>
    <row r="210" spans="1:7" x14ac:dyDescent="0.25">
      <c r="A210" s="3">
        <v>44490</v>
      </c>
      <c r="B210" s="2" t="str">
        <f t="shared" si="3"/>
        <v>sa-21-10</v>
      </c>
      <c r="C210" t="s">
        <v>346</v>
      </c>
      <c r="D210" t="s">
        <v>83</v>
      </c>
      <c r="E210">
        <v>6</v>
      </c>
      <c r="F210" s="6">
        <f>VLOOKUP(D210,Products!A$2:C$101,3,FALSE)*E210</f>
        <v>180</v>
      </c>
      <c r="G210" t="s">
        <v>402</v>
      </c>
    </row>
    <row r="211" spans="1:7" x14ac:dyDescent="0.25">
      <c r="A211" s="3">
        <v>44179</v>
      </c>
      <c r="B211" s="2" t="str">
        <f t="shared" si="3"/>
        <v>sa-14-12</v>
      </c>
      <c r="C211" t="s">
        <v>313</v>
      </c>
      <c r="D211" t="s">
        <v>40</v>
      </c>
      <c r="E211">
        <v>4</v>
      </c>
      <c r="F211" s="6">
        <f>VLOOKUP(D211,Products!A$2:C$101,3,FALSE)*E211</f>
        <v>136</v>
      </c>
      <c r="G211" t="s">
        <v>396</v>
      </c>
    </row>
    <row r="212" spans="1:7" x14ac:dyDescent="0.25">
      <c r="A212" s="3">
        <v>43973</v>
      </c>
      <c r="B212" s="2" t="str">
        <f t="shared" si="3"/>
        <v>sa-22-5</v>
      </c>
      <c r="C212" t="s">
        <v>319</v>
      </c>
      <c r="D212" t="s">
        <v>75</v>
      </c>
      <c r="E212">
        <v>6</v>
      </c>
      <c r="F212" s="6">
        <f>VLOOKUP(D212,Products!A$2:C$101,3,FALSE)*E212</f>
        <v>204</v>
      </c>
      <c r="G212" t="s">
        <v>403</v>
      </c>
    </row>
    <row r="213" spans="1:7" x14ac:dyDescent="0.25">
      <c r="A213" s="3">
        <v>44357</v>
      </c>
      <c r="B213" s="2" t="str">
        <f t="shared" si="3"/>
        <v>sa-10-6</v>
      </c>
      <c r="C213" t="s">
        <v>351</v>
      </c>
      <c r="D213" t="s">
        <v>100</v>
      </c>
      <c r="E213">
        <v>6</v>
      </c>
      <c r="F213" s="6">
        <f>VLOOKUP(D213,Products!A$2:C$101,3,FALSE)*E213</f>
        <v>90</v>
      </c>
      <c r="G213" t="s">
        <v>398</v>
      </c>
    </row>
    <row r="214" spans="1:7" x14ac:dyDescent="0.25">
      <c r="A214" s="3">
        <v>44330</v>
      </c>
      <c r="B214" s="2" t="str">
        <f t="shared" si="3"/>
        <v>sa-14-5</v>
      </c>
      <c r="C214" t="s">
        <v>334</v>
      </c>
      <c r="D214" t="s">
        <v>30</v>
      </c>
      <c r="E214">
        <v>6</v>
      </c>
      <c r="F214" s="6">
        <f>VLOOKUP(D214,Products!A$2:C$101,3,FALSE)*E214</f>
        <v>210</v>
      </c>
      <c r="G214" t="s">
        <v>398</v>
      </c>
    </row>
    <row r="215" spans="1:7" x14ac:dyDescent="0.25">
      <c r="A215" s="3">
        <v>43844</v>
      </c>
      <c r="B215" s="2" t="str">
        <f t="shared" si="3"/>
        <v>sa-14-1</v>
      </c>
      <c r="C215" t="s">
        <v>341</v>
      </c>
      <c r="D215" t="s">
        <v>78</v>
      </c>
      <c r="E215">
        <v>3</v>
      </c>
      <c r="F215" s="6">
        <f>VLOOKUP(D215,Products!A$2:C$101,3,FALSE)*E215</f>
        <v>102</v>
      </c>
      <c r="G215" t="s">
        <v>402</v>
      </c>
    </row>
    <row r="216" spans="1:7" x14ac:dyDescent="0.25">
      <c r="A216" s="3">
        <v>43858</v>
      </c>
      <c r="B216" s="2" t="str">
        <f t="shared" si="3"/>
        <v>sa-28-1</v>
      </c>
      <c r="C216" t="s">
        <v>324</v>
      </c>
      <c r="D216" t="s">
        <v>49</v>
      </c>
      <c r="E216">
        <v>5</v>
      </c>
      <c r="F216" s="6">
        <f>VLOOKUP(D216,Products!A$2:C$101,3,FALSE)*E216</f>
        <v>165</v>
      </c>
      <c r="G216" t="s">
        <v>402</v>
      </c>
    </row>
    <row r="217" spans="1:7" x14ac:dyDescent="0.25">
      <c r="A217" s="3">
        <v>43984</v>
      </c>
      <c r="B217" s="2" t="str">
        <f t="shared" si="3"/>
        <v>sa-2-6</v>
      </c>
      <c r="C217" t="s">
        <v>335</v>
      </c>
      <c r="D217" t="s">
        <v>60</v>
      </c>
      <c r="E217">
        <v>6</v>
      </c>
      <c r="F217" s="6">
        <f>VLOOKUP(D217,Products!A$2:C$101,3,FALSE)*E217</f>
        <v>180</v>
      </c>
      <c r="G217" t="s">
        <v>399</v>
      </c>
    </row>
    <row r="218" spans="1:7" x14ac:dyDescent="0.25">
      <c r="A218" s="3">
        <v>44577</v>
      </c>
      <c r="B218" s="2" t="str">
        <f t="shared" si="3"/>
        <v>sa-16-1</v>
      </c>
      <c r="C218" t="s">
        <v>338</v>
      </c>
      <c r="D218" t="s">
        <v>55</v>
      </c>
      <c r="E218">
        <v>4</v>
      </c>
      <c r="F218" s="6">
        <f>VLOOKUP(D218,Products!A$2:C$101,3,FALSE)*E218</f>
        <v>128</v>
      </c>
      <c r="G218" t="s">
        <v>397</v>
      </c>
    </row>
    <row r="219" spans="1:7" x14ac:dyDescent="0.25">
      <c r="A219" s="3">
        <v>44237</v>
      </c>
      <c r="B219" s="2" t="str">
        <f t="shared" si="3"/>
        <v>sa-10-2</v>
      </c>
      <c r="C219" t="s">
        <v>307</v>
      </c>
      <c r="D219" t="s">
        <v>52</v>
      </c>
      <c r="E219">
        <v>2</v>
      </c>
      <c r="F219" s="6">
        <f>VLOOKUP(D219,Products!A$2:C$101,3,FALSE)*E219</f>
        <v>66</v>
      </c>
      <c r="G219" t="s">
        <v>399</v>
      </c>
    </row>
    <row r="220" spans="1:7" x14ac:dyDescent="0.25">
      <c r="A220" s="3">
        <v>44183</v>
      </c>
      <c r="B220" s="2" t="str">
        <f t="shared" si="3"/>
        <v>sa-18-12</v>
      </c>
      <c r="C220" t="s">
        <v>324</v>
      </c>
      <c r="D220" t="s">
        <v>68</v>
      </c>
      <c r="E220">
        <v>2</v>
      </c>
      <c r="F220" s="6">
        <f>VLOOKUP(D220,Products!A$2:C$101,3,FALSE)*E220</f>
        <v>64</v>
      </c>
      <c r="G220" t="s">
        <v>406</v>
      </c>
    </row>
    <row r="221" spans="1:7" x14ac:dyDescent="0.25">
      <c r="A221" s="3">
        <v>44535</v>
      </c>
      <c r="B221" s="2" t="str">
        <f t="shared" si="3"/>
        <v>sa-5-12</v>
      </c>
      <c r="C221" t="s">
        <v>340</v>
      </c>
      <c r="D221" t="s">
        <v>13</v>
      </c>
      <c r="E221">
        <v>5</v>
      </c>
      <c r="F221" s="6">
        <f>VLOOKUP(D221,Products!A$2:C$101,3,FALSE)*E221</f>
        <v>355</v>
      </c>
      <c r="G221" t="s">
        <v>396</v>
      </c>
    </row>
    <row r="222" spans="1:7" x14ac:dyDescent="0.25">
      <c r="A222" s="3">
        <v>44657</v>
      </c>
      <c r="B222" s="2" t="str">
        <f t="shared" si="3"/>
        <v>sa-6-4</v>
      </c>
      <c r="C222" t="s">
        <v>351</v>
      </c>
      <c r="D222" t="s">
        <v>45</v>
      </c>
      <c r="E222">
        <v>4</v>
      </c>
      <c r="F222" s="6">
        <f>VLOOKUP(D222,Products!A$2:C$101,3,FALSE)*E222</f>
        <v>120</v>
      </c>
      <c r="G222" t="s">
        <v>402</v>
      </c>
    </row>
    <row r="223" spans="1:7" x14ac:dyDescent="0.25">
      <c r="A223" s="3">
        <v>43971</v>
      </c>
      <c r="B223" s="2" t="str">
        <f t="shared" si="3"/>
        <v>sa-20-5</v>
      </c>
      <c r="C223" t="s">
        <v>323</v>
      </c>
      <c r="D223" t="s">
        <v>76</v>
      </c>
      <c r="E223">
        <v>5</v>
      </c>
      <c r="F223" s="6">
        <f>VLOOKUP(D223,Products!A$2:C$101,3,FALSE)*E223</f>
        <v>170</v>
      </c>
      <c r="G223" t="s">
        <v>403</v>
      </c>
    </row>
    <row r="224" spans="1:7" x14ac:dyDescent="0.25">
      <c r="A224" s="3">
        <v>44428</v>
      </c>
      <c r="B224" s="2" t="str">
        <f t="shared" si="3"/>
        <v>sa-20-8</v>
      </c>
      <c r="C224" t="s">
        <v>349</v>
      </c>
      <c r="D224" t="s">
        <v>27</v>
      </c>
      <c r="E224">
        <v>2</v>
      </c>
      <c r="F224" s="6">
        <f>VLOOKUP(D224,Products!A$2:C$101,3,FALSE)*E224</f>
        <v>68</v>
      </c>
      <c r="G224" t="s">
        <v>405</v>
      </c>
    </row>
    <row r="225" spans="1:7" x14ac:dyDescent="0.25">
      <c r="A225" s="3">
        <v>44527</v>
      </c>
      <c r="B225" s="2" t="str">
        <f t="shared" si="3"/>
        <v>sa-27-11</v>
      </c>
      <c r="C225" t="s">
        <v>320</v>
      </c>
      <c r="D225" t="s">
        <v>86</v>
      </c>
      <c r="E225">
        <v>5</v>
      </c>
      <c r="F225" s="6">
        <f>VLOOKUP(D225,Products!A$2:C$101,3,FALSE)*E225</f>
        <v>170</v>
      </c>
      <c r="G225" t="s">
        <v>407</v>
      </c>
    </row>
    <row r="226" spans="1:7" x14ac:dyDescent="0.25">
      <c r="A226" s="3">
        <v>44483</v>
      </c>
      <c r="B226" s="2" t="str">
        <f t="shared" si="3"/>
        <v>sa-14-10</v>
      </c>
      <c r="C226" t="s">
        <v>340</v>
      </c>
      <c r="D226" t="s">
        <v>48</v>
      </c>
      <c r="E226">
        <v>2</v>
      </c>
      <c r="F226" s="6">
        <f>VLOOKUP(D226,Products!A$2:C$101,3,FALSE)*E226</f>
        <v>66</v>
      </c>
      <c r="G226" t="s">
        <v>405</v>
      </c>
    </row>
    <row r="227" spans="1:7" x14ac:dyDescent="0.25">
      <c r="A227" s="3">
        <v>44496</v>
      </c>
      <c r="B227" s="2" t="str">
        <f t="shared" si="3"/>
        <v>sa-27-10</v>
      </c>
      <c r="C227" t="s">
        <v>349</v>
      </c>
      <c r="D227" t="s">
        <v>24</v>
      </c>
      <c r="E227">
        <v>2</v>
      </c>
      <c r="F227" s="6">
        <f>VLOOKUP(D227,Products!A$2:C$101,3,FALSE)*E227</f>
        <v>66</v>
      </c>
      <c r="G227" t="s">
        <v>408</v>
      </c>
    </row>
    <row r="228" spans="1:7" x14ac:dyDescent="0.25">
      <c r="A228" s="3">
        <v>44493</v>
      </c>
      <c r="B228" s="2" t="str">
        <f t="shared" si="3"/>
        <v>sa-24-10</v>
      </c>
      <c r="C228" t="s">
        <v>341</v>
      </c>
      <c r="D228" t="s">
        <v>4</v>
      </c>
      <c r="E228">
        <v>4</v>
      </c>
      <c r="F228" s="6">
        <f>VLOOKUP(D228,Products!A$2:C$101,3,FALSE)*E228</f>
        <v>284</v>
      </c>
      <c r="G228" t="s">
        <v>405</v>
      </c>
    </row>
    <row r="229" spans="1:7" x14ac:dyDescent="0.25">
      <c r="A229" s="3">
        <v>43933</v>
      </c>
      <c r="B229" s="2" t="str">
        <f t="shared" si="3"/>
        <v>sa-12-4</v>
      </c>
      <c r="C229" t="s">
        <v>308</v>
      </c>
      <c r="D229" t="s">
        <v>48</v>
      </c>
      <c r="E229">
        <v>3</v>
      </c>
      <c r="F229" s="6">
        <f>VLOOKUP(D229,Products!A$2:C$101,3,FALSE)*E229</f>
        <v>99</v>
      </c>
      <c r="G229" t="s">
        <v>406</v>
      </c>
    </row>
    <row r="230" spans="1:7" x14ac:dyDescent="0.25">
      <c r="A230" s="3">
        <v>44429</v>
      </c>
      <c r="B230" s="2" t="str">
        <f t="shared" si="3"/>
        <v>sa-21-8</v>
      </c>
      <c r="C230" t="s">
        <v>317</v>
      </c>
      <c r="D230" t="s">
        <v>52</v>
      </c>
      <c r="E230">
        <v>5</v>
      </c>
      <c r="F230" s="6">
        <f>VLOOKUP(D230,Products!A$2:C$101,3,FALSE)*E230</f>
        <v>165</v>
      </c>
      <c r="G230" t="s">
        <v>395</v>
      </c>
    </row>
    <row r="231" spans="1:7" x14ac:dyDescent="0.25">
      <c r="A231" s="3">
        <v>44313</v>
      </c>
      <c r="B231" s="2" t="str">
        <f t="shared" si="3"/>
        <v>sa-27-4</v>
      </c>
      <c r="C231" t="s">
        <v>339</v>
      </c>
      <c r="D231" t="s">
        <v>33</v>
      </c>
      <c r="E231">
        <v>5</v>
      </c>
      <c r="F231" s="6">
        <f>VLOOKUP(D231,Products!A$2:C$101,3,FALSE)*E231</f>
        <v>165</v>
      </c>
      <c r="G231" t="s">
        <v>399</v>
      </c>
    </row>
    <row r="232" spans="1:7" x14ac:dyDescent="0.25">
      <c r="A232" s="3">
        <v>43999</v>
      </c>
      <c r="B232" s="2" t="str">
        <f t="shared" si="3"/>
        <v>sa-17-6</v>
      </c>
      <c r="C232" t="s">
        <v>345</v>
      </c>
      <c r="D232" t="s">
        <v>50</v>
      </c>
      <c r="E232">
        <v>2</v>
      </c>
      <c r="F232" s="6">
        <f>VLOOKUP(D232,Products!A$2:C$101,3,FALSE)*E232</f>
        <v>64</v>
      </c>
      <c r="G232" t="s">
        <v>406</v>
      </c>
    </row>
    <row r="233" spans="1:7" x14ac:dyDescent="0.25">
      <c r="A233" s="3">
        <v>44413</v>
      </c>
      <c r="B233" s="2" t="str">
        <f t="shared" si="3"/>
        <v>sa-5-8</v>
      </c>
      <c r="C233" t="s">
        <v>334</v>
      </c>
      <c r="D233" t="s">
        <v>49</v>
      </c>
      <c r="E233">
        <v>2</v>
      </c>
      <c r="F233" s="6">
        <f>VLOOKUP(D233,Products!A$2:C$101,3,FALSE)*E233</f>
        <v>66</v>
      </c>
      <c r="G233" t="s">
        <v>408</v>
      </c>
    </row>
    <row r="234" spans="1:7" x14ac:dyDescent="0.25">
      <c r="A234" s="3">
        <v>44634</v>
      </c>
      <c r="B234" s="2" t="str">
        <f t="shared" si="3"/>
        <v>sa-14-3</v>
      </c>
      <c r="C234" t="s">
        <v>351</v>
      </c>
      <c r="D234" t="s">
        <v>62</v>
      </c>
      <c r="E234">
        <v>6</v>
      </c>
      <c r="F234" s="6">
        <f>VLOOKUP(D234,Products!A$2:C$101,3,FALSE)*E234</f>
        <v>192</v>
      </c>
      <c r="G234" t="s">
        <v>406</v>
      </c>
    </row>
    <row r="235" spans="1:7" x14ac:dyDescent="0.25">
      <c r="A235" s="3">
        <v>44391</v>
      </c>
      <c r="B235" s="2" t="str">
        <f t="shared" si="3"/>
        <v>sa-14-7</v>
      </c>
      <c r="C235" t="s">
        <v>325</v>
      </c>
      <c r="D235" t="s">
        <v>96</v>
      </c>
      <c r="E235">
        <v>3</v>
      </c>
      <c r="F235" s="6">
        <f>VLOOKUP(D235,Products!A$2:C$101,3,FALSE)*E235</f>
        <v>30</v>
      </c>
      <c r="G235" t="s">
        <v>395</v>
      </c>
    </row>
    <row r="236" spans="1:7" x14ac:dyDescent="0.25">
      <c r="A236" s="3">
        <v>44203</v>
      </c>
      <c r="B236" s="2" t="str">
        <f t="shared" si="3"/>
        <v>sa-7-1</v>
      </c>
      <c r="C236" t="s">
        <v>348</v>
      </c>
      <c r="D236" t="s">
        <v>91</v>
      </c>
      <c r="E236">
        <v>6</v>
      </c>
      <c r="F236" s="6">
        <f>VLOOKUP(D236,Products!A$2:C$101,3,FALSE)*E236</f>
        <v>102</v>
      </c>
      <c r="G236" t="s">
        <v>399</v>
      </c>
    </row>
    <row r="237" spans="1:7" x14ac:dyDescent="0.25">
      <c r="A237" s="3">
        <v>44258</v>
      </c>
      <c r="B237" s="2" t="str">
        <f t="shared" si="3"/>
        <v>sa-3-3</v>
      </c>
      <c r="C237" t="s">
        <v>332</v>
      </c>
      <c r="D237" t="s">
        <v>31</v>
      </c>
      <c r="E237">
        <v>6</v>
      </c>
      <c r="F237" s="6">
        <f>VLOOKUP(D237,Products!A$2:C$101,3,FALSE)*E237</f>
        <v>192</v>
      </c>
      <c r="G237" t="s">
        <v>404</v>
      </c>
    </row>
    <row r="238" spans="1:7" x14ac:dyDescent="0.25">
      <c r="A238" s="3">
        <v>44660</v>
      </c>
      <c r="B238" s="2" t="str">
        <f t="shared" si="3"/>
        <v>sa-9-4</v>
      </c>
      <c r="C238" t="s">
        <v>329</v>
      </c>
      <c r="D238" t="s">
        <v>46</v>
      </c>
      <c r="E238">
        <v>2</v>
      </c>
      <c r="F238" s="6">
        <f>VLOOKUP(D238,Products!A$2:C$101,3,FALSE)*E238</f>
        <v>60</v>
      </c>
      <c r="G238" t="s">
        <v>395</v>
      </c>
    </row>
    <row r="239" spans="1:7" x14ac:dyDescent="0.25">
      <c r="A239" s="3">
        <v>44567</v>
      </c>
      <c r="B239" s="2" t="str">
        <f t="shared" si="3"/>
        <v>sa-6-1</v>
      </c>
      <c r="C239" t="s">
        <v>349</v>
      </c>
      <c r="D239" t="s">
        <v>76</v>
      </c>
      <c r="E239">
        <v>2</v>
      </c>
      <c r="F239" s="6">
        <f>VLOOKUP(D239,Products!A$2:C$101,3,FALSE)*E239</f>
        <v>68</v>
      </c>
      <c r="G239" t="s">
        <v>403</v>
      </c>
    </row>
    <row r="240" spans="1:7" x14ac:dyDescent="0.25">
      <c r="A240" s="3">
        <v>44401</v>
      </c>
      <c r="B240" s="2" t="str">
        <f t="shared" si="3"/>
        <v>sa-24-7</v>
      </c>
      <c r="C240" t="s">
        <v>317</v>
      </c>
      <c r="D240" t="s">
        <v>60</v>
      </c>
      <c r="E240">
        <v>5</v>
      </c>
      <c r="F240" s="6">
        <f>VLOOKUP(D240,Products!A$2:C$101,3,FALSE)*E240</f>
        <v>150</v>
      </c>
      <c r="G240" t="s">
        <v>398</v>
      </c>
    </row>
    <row r="241" spans="1:7" x14ac:dyDescent="0.25">
      <c r="A241" s="3">
        <v>44129</v>
      </c>
      <c r="B241" s="2" t="str">
        <f t="shared" si="3"/>
        <v>sa-25-10</v>
      </c>
      <c r="C241" t="s">
        <v>328</v>
      </c>
      <c r="D241" t="s">
        <v>41</v>
      </c>
      <c r="E241">
        <v>5</v>
      </c>
      <c r="F241" s="6">
        <f>VLOOKUP(D241,Products!A$2:C$101,3,FALSE)*E241</f>
        <v>165</v>
      </c>
      <c r="G241" t="s">
        <v>397</v>
      </c>
    </row>
    <row r="242" spans="1:7" x14ac:dyDescent="0.25">
      <c r="A242" s="3">
        <v>43887</v>
      </c>
      <c r="B242" s="2" t="str">
        <f t="shared" si="3"/>
        <v>sa-26-2</v>
      </c>
      <c r="C242" t="s">
        <v>353</v>
      </c>
      <c r="D242" t="s">
        <v>45</v>
      </c>
      <c r="E242">
        <v>6</v>
      </c>
      <c r="F242" s="6">
        <f>VLOOKUP(D242,Products!A$2:C$101,3,FALSE)*E242</f>
        <v>180</v>
      </c>
      <c r="G242" t="s">
        <v>395</v>
      </c>
    </row>
    <row r="243" spans="1:7" x14ac:dyDescent="0.25">
      <c r="A243" s="3">
        <v>44135</v>
      </c>
      <c r="B243" s="2" t="str">
        <f t="shared" si="3"/>
        <v>sa-31-10</v>
      </c>
      <c r="C243" t="s">
        <v>353</v>
      </c>
      <c r="D243" t="s">
        <v>4</v>
      </c>
      <c r="E243">
        <v>2</v>
      </c>
      <c r="F243" s="6">
        <f>VLOOKUP(D243,Products!A$2:C$101,3,FALSE)*E243</f>
        <v>142</v>
      </c>
      <c r="G243" t="s">
        <v>396</v>
      </c>
    </row>
    <row r="244" spans="1:7" x14ac:dyDescent="0.25">
      <c r="A244" s="3">
        <v>44550</v>
      </c>
      <c r="B244" s="2" t="str">
        <f t="shared" si="3"/>
        <v>sa-20-12</v>
      </c>
      <c r="C244" t="s">
        <v>313</v>
      </c>
      <c r="D244" t="s">
        <v>93</v>
      </c>
      <c r="E244">
        <v>2</v>
      </c>
      <c r="F244" s="6">
        <f>VLOOKUP(D244,Products!A$2:C$101,3,FALSE)*E244</f>
        <v>34</v>
      </c>
      <c r="G244" t="s">
        <v>407</v>
      </c>
    </row>
    <row r="245" spans="1:7" x14ac:dyDescent="0.25">
      <c r="A245" s="3">
        <v>44455</v>
      </c>
      <c r="B245" s="2" t="str">
        <f t="shared" si="3"/>
        <v>sa-16-9</v>
      </c>
      <c r="C245" t="s">
        <v>332</v>
      </c>
      <c r="D245" t="s">
        <v>91</v>
      </c>
      <c r="E245">
        <v>4</v>
      </c>
      <c r="F245" s="6">
        <f>VLOOKUP(D245,Products!A$2:C$101,3,FALSE)*E245</f>
        <v>68</v>
      </c>
      <c r="G245" t="s">
        <v>401</v>
      </c>
    </row>
    <row r="246" spans="1:7" x14ac:dyDescent="0.25">
      <c r="A246" s="3">
        <v>44028</v>
      </c>
      <c r="B246" s="2" t="str">
        <f t="shared" si="3"/>
        <v>sa-16-7</v>
      </c>
      <c r="C246" t="s">
        <v>351</v>
      </c>
      <c r="D246" t="s">
        <v>21</v>
      </c>
      <c r="E246">
        <v>5</v>
      </c>
      <c r="F246" s="6">
        <f>VLOOKUP(D246,Products!A$2:C$101,3,FALSE)*E246</f>
        <v>165</v>
      </c>
      <c r="G246" t="s">
        <v>395</v>
      </c>
    </row>
    <row r="247" spans="1:7" x14ac:dyDescent="0.25">
      <c r="A247" s="3">
        <v>44399</v>
      </c>
      <c r="B247" s="2" t="str">
        <f t="shared" si="3"/>
        <v>sa-22-7</v>
      </c>
      <c r="C247" t="s">
        <v>335</v>
      </c>
      <c r="D247" t="s">
        <v>10</v>
      </c>
      <c r="E247">
        <v>3</v>
      </c>
      <c r="F247" s="6">
        <f>VLOOKUP(D247,Products!A$2:C$101,3,FALSE)*E247</f>
        <v>216</v>
      </c>
      <c r="G247" t="s">
        <v>406</v>
      </c>
    </row>
    <row r="248" spans="1:7" x14ac:dyDescent="0.25">
      <c r="A248" s="3">
        <v>44007</v>
      </c>
      <c r="B248" s="2" t="str">
        <f t="shared" si="3"/>
        <v>sa-25-6</v>
      </c>
      <c r="C248" t="s">
        <v>324</v>
      </c>
      <c r="D248" t="s">
        <v>91</v>
      </c>
      <c r="E248">
        <v>5</v>
      </c>
      <c r="F248" s="6">
        <f>VLOOKUP(D248,Products!A$2:C$101,3,FALSE)*E248</f>
        <v>85</v>
      </c>
      <c r="G248" t="s">
        <v>404</v>
      </c>
    </row>
    <row r="249" spans="1:7" x14ac:dyDescent="0.25">
      <c r="A249" s="3">
        <v>44137</v>
      </c>
      <c r="B249" s="2" t="str">
        <f t="shared" si="3"/>
        <v>sa-2-11</v>
      </c>
      <c r="C249" t="s">
        <v>325</v>
      </c>
      <c r="D249" t="s">
        <v>6</v>
      </c>
      <c r="E249">
        <v>6</v>
      </c>
      <c r="F249" s="6">
        <f>VLOOKUP(D249,Products!A$2:C$101,3,FALSE)*E249</f>
        <v>414</v>
      </c>
      <c r="G249" t="s">
        <v>403</v>
      </c>
    </row>
    <row r="250" spans="1:7" x14ac:dyDescent="0.25">
      <c r="A250" s="3">
        <v>44527</v>
      </c>
      <c r="B250" s="2" t="str">
        <f t="shared" si="3"/>
        <v>sa-27-11</v>
      </c>
      <c r="C250" t="s">
        <v>340</v>
      </c>
      <c r="D250" t="s">
        <v>41</v>
      </c>
      <c r="E250">
        <v>3</v>
      </c>
      <c r="F250" s="6">
        <f>VLOOKUP(D250,Products!A$2:C$101,3,FALSE)*E250</f>
        <v>99</v>
      </c>
      <c r="G250" t="s">
        <v>403</v>
      </c>
    </row>
    <row r="251" spans="1:7" x14ac:dyDescent="0.25">
      <c r="A251" s="3">
        <v>44535</v>
      </c>
      <c r="B251" s="2" t="str">
        <f t="shared" si="3"/>
        <v>sa-5-12</v>
      </c>
      <c r="C251" t="s">
        <v>326</v>
      </c>
      <c r="D251" t="s">
        <v>63</v>
      </c>
      <c r="E251">
        <v>5</v>
      </c>
      <c r="F251" s="6">
        <f>VLOOKUP(D251,Products!A$2:C$101,3,FALSE)*E251</f>
        <v>165</v>
      </c>
      <c r="G251" t="s">
        <v>404</v>
      </c>
    </row>
    <row r="252" spans="1:7" x14ac:dyDescent="0.25">
      <c r="A252" s="3">
        <v>44691</v>
      </c>
      <c r="B252" s="2" t="str">
        <f t="shared" si="3"/>
        <v>sa-10-5</v>
      </c>
      <c r="C252" t="s">
        <v>324</v>
      </c>
      <c r="D252" t="s">
        <v>96</v>
      </c>
      <c r="E252">
        <v>3</v>
      </c>
      <c r="F252" s="6">
        <f>VLOOKUP(D252,Products!A$2:C$101,3,FALSE)*E252</f>
        <v>30</v>
      </c>
      <c r="G252" t="s">
        <v>406</v>
      </c>
    </row>
    <row r="253" spans="1:7" x14ac:dyDescent="0.25">
      <c r="A253" s="3">
        <v>44483</v>
      </c>
      <c r="B253" s="2" t="str">
        <f t="shared" si="3"/>
        <v>sa-14-10</v>
      </c>
      <c r="C253" t="s">
        <v>314</v>
      </c>
      <c r="D253" t="s">
        <v>45</v>
      </c>
      <c r="E253">
        <v>6</v>
      </c>
      <c r="F253" s="6">
        <f>VLOOKUP(D253,Products!A$2:C$101,3,FALSE)*E253</f>
        <v>180</v>
      </c>
      <c r="G253" t="s">
        <v>402</v>
      </c>
    </row>
    <row r="254" spans="1:7" x14ac:dyDescent="0.25">
      <c r="A254" s="3">
        <v>44365</v>
      </c>
      <c r="B254" s="2" t="str">
        <f t="shared" si="3"/>
        <v>sa-18-6</v>
      </c>
      <c r="C254" t="s">
        <v>308</v>
      </c>
      <c r="D254" t="s">
        <v>34</v>
      </c>
      <c r="E254">
        <v>4</v>
      </c>
      <c r="F254" s="6">
        <f>VLOOKUP(D254,Products!A$2:C$101,3,FALSE)*E254</f>
        <v>140</v>
      </c>
      <c r="G254" t="s">
        <v>408</v>
      </c>
    </row>
    <row r="255" spans="1:7" x14ac:dyDescent="0.25">
      <c r="A255" s="3">
        <v>44372</v>
      </c>
      <c r="B255" s="2" t="str">
        <f t="shared" si="3"/>
        <v>sa-25-6</v>
      </c>
      <c r="C255" t="s">
        <v>334</v>
      </c>
      <c r="D255" t="s">
        <v>94</v>
      </c>
      <c r="E255">
        <v>2</v>
      </c>
      <c r="F255" s="6">
        <f>VLOOKUP(D255,Products!A$2:C$101,3,FALSE)*E255</f>
        <v>38</v>
      </c>
      <c r="G255" t="s">
        <v>407</v>
      </c>
    </row>
    <row r="256" spans="1:7" x14ac:dyDescent="0.25">
      <c r="A256" s="3">
        <v>43865</v>
      </c>
      <c r="B256" s="2" t="str">
        <f t="shared" si="3"/>
        <v>sa-4-2</v>
      </c>
      <c r="C256" t="s">
        <v>325</v>
      </c>
      <c r="D256" t="s">
        <v>10</v>
      </c>
      <c r="E256">
        <v>4</v>
      </c>
      <c r="F256" s="6">
        <f>VLOOKUP(D256,Products!A$2:C$101,3,FALSE)*E256</f>
        <v>288</v>
      </c>
      <c r="G256" t="s">
        <v>402</v>
      </c>
    </row>
    <row r="257" spans="1:7" x14ac:dyDescent="0.25">
      <c r="A257" s="3">
        <v>44307</v>
      </c>
      <c r="B257" s="2" t="str">
        <f t="shared" si="3"/>
        <v>sa-21-4</v>
      </c>
      <c r="C257" t="s">
        <v>323</v>
      </c>
      <c r="D257" t="s">
        <v>62</v>
      </c>
      <c r="E257">
        <v>2</v>
      </c>
      <c r="F257" s="6">
        <f>VLOOKUP(D257,Products!A$2:C$101,3,FALSE)*E257</f>
        <v>64</v>
      </c>
      <c r="G257" t="s">
        <v>405</v>
      </c>
    </row>
    <row r="258" spans="1:7" x14ac:dyDescent="0.25">
      <c r="A258" s="3">
        <v>44434</v>
      </c>
      <c r="B258" s="2" t="str">
        <f t="shared" si="3"/>
        <v>sa-26-8</v>
      </c>
      <c r="C258" t="s">
        <v>335</v>
      </c>
      <c r="D258" t="s">
        <v>78</v>
      </c>
      <c r="E258">
        <v>2</v>
      </c>
      <c r="F258" s="6">
        <f>VLOOKUP(D258,Products!A$2:C$101,3,FALSE)*E258</f>
        <v>68</v>
      </c>
      <c r="G258" t="s">
        <v>398</v>
      </c>
    </row>
    <row r="259" spans="1:7" x14ac:dyDescent="0.25">
      <c r="A259" s="3">
        <v>44434</v>
      </c>
      <c r="B259" s="2" t="str">
        <f t="shared" ref="B259:B322" si="4">"sa-"&amp;DAY(A259)&amp;"-"&amp;MONTH(A259)</f>
        <v>sa-26-8</v>
      </c>
      <c r="C259" t="s">
        <v>352</v>
      </c>
      <c r="D259" t="s">
        <v>82</v>
      </c>
      <c r="E259">
        <v>2</v>
      </c>
      <c r="F259" s="6">
        <f>VLOOKUP(D259,Products!A$2:C$101,3,FALSE)*E259</f>
        <v>64</v>
      </c>
      <c r="G259" t="s">
        <v>403</v>
      </c>
    </row>
    <row r="260" spans="1:7" x14ac:dyDescent="0.25">
      <c r="A260" s="3">
        <v>44632</v>
      </c>
      <c r="B260" s="2" t="str">
        <f t="shared" si="4"/>
        <v>sa-12-3</v>
      </c>
      <c r="C260" t="s">
        <v>340</v>
      </c>
      <c r="D260" t="s">
        <v>22</v>
      </c>
      <c r="E260">
        <v>6</v>
      </c>
      <c r="F260" s="6">
        <f>VLOOKUP(D260,Products!A$2:C$101,3,FALSE)*E260</f>
        <v>204</v>
      </c>
      <c r="G260" t="s">
        <v>400</v>
      </c>
    </row>
    <row r="261" spans="1:7" x14ac:dyDescent="0.25">
      <c r="A261" s="3">
        <v>44387</v>
      </c>
      <c r="B261" s="2" t="str">
        <f t="shared" si="4"/>
        <v>sa-10-7</v>
      </c>
      <c r="C261" t="s">
        <v>310</v>
      </c>
      <c r="D261" t="s">
        <v>6</v>
      </c>
      <c r="E261">
        <v>5</v>
      </c>
      <c r="F261" s="6">
        <f>VLOOKUP(D261,Products!A$2:C$101,3,FALSE)*E261</f>
        <v>345</v>
      </c>
      <c r="G261" t="s">
        <v>406</v>
      </c>
    </row>
    <row r="262" spans="1:7" x14ac:dyDescent="0.25">
      <c r="A262" s="3">
        <v>44349</v>
      </c>
      <c r="B262" s="2" t="str">
        <f t="shared" si="4"/>
        <v>sa-2-6</v>
      </c>
      <c r="C262" t="s">
        <v>352</v>
      </c>
      <c r="D262" t="s">
        <v>34</v>
      </c>
      <c r="E262">
        <v>4</v>
      </c>
      <c r="F262" s="6">
        <f>VLOOKUP(D262,Products!A$2:C$101,3,FALSE)*E262</f>
        <v>140</v>
      </c>
      <c r="G262" t="s">
        <v>401</v>
      </c>
    </row>
    <row r="263" spans="1:7" x14ac:dyDescent="0.25">
      <c r="A263" s="3">
        <v>43904</v>
      </c>
      <c r="B263" s="2" t="str">
        <f t="shared" si="4"/>
        <v>sa-14-3</v>
      </c>
      <c r="C263" t="s">
        <v>355</v>
      </c>
      <c r="D263" t="s">
        <v>24</v>
      </c>
      <c r="E263">
        <v>4</v>
      </c>
      <c r="F263" s="6">
        <f>VLOOKUP(D263,Products!A$2:C$101,3,FALSE)*E263</f>
        <v>132</v>
      </c>
      <c r="G263" t="s">
        <v>401</v>
      </c>
    </row>
    <row r="264" spans="1:7" x14ac:dyDescent="0.25">
      <c r="A264" s="3">
        <v>43969</v>
      </c>
      <c r="B264" s="2" t="str">
        <f t="shared" si="4"/>
        <v>sa-18-5</v>
      </c>
      <c r="C264" t="s">
        <v>313</v>
      </c>
      <c r="D264" t="s">
        <v>27</v>
      </c>
      <c r="E264">
        <v>6</v>
      </c>
      <c r="F264" s="6">
        <f>VLOOKUP(D264,Products!A$2:C$101,3,FALSE)*E264</f>
        <v>204</v>
      </c>
      <c r="G264" t="s">
        <v>405</v>
      </c>
    </row>
    <row r="265" spans="1:7" x14ac:dyDescent="0.25">
      <c r="A265" s="3">
        <v>44482</v>
      </c>
      <c r="B265" s="2" t="str">
        <f t="shared" si="4"/>
        <v>sa-13-10</v>
      </c>
      <c r="C265" t="s">
        <v>317</v>
      </c>
      <c r="D265" t="s">
        <v>44</v>
      </c>
      <c r="E265">
        <v>3</v>
      </c>
      <c r="F265" s="6">
        <f>VLOOKUP(D265,Products!A$2:C$101,3,FALSE)*E265</f>
        <v>93</v>
      </c>
      <c r="G265" t="s">
        <v>398</v>
      </c>
    </row>
    <row r="266" spans="1:7" x14ac:dyDescent="0.25">
      <c r="A266" s="3">
        <v>44417</v>
      </c>
      <c r="B266" s="2" t="str">
        <f t="shared" si="4"/>
        <v>sa-9-8</v>
      </c>
      <c r="C266" t="s">
        <v>350</v>
      </c>
      <c r="D266" t="s">
        <v>100</v>
      </c>
      <c r="E266">
        <v>6</v>
      </c>
      <c r="F266" s="6">
        <f>VLOOKUP(D266,Products!A$2:C$101,3,FALSE)*E266</f>
        <v>90</v>
      </c>
      <c r="G266" t="s">
        <v>404</v>
      </c>
    </row>
    <row r="267" spans="1:7" x14ac:dyDescent="0.25">
      <c r="A267" s="3">
        <v>44698</v>
      </c>
      <c r="B267" s="2" t="str">
        <f t="shared" si="4"/>
        <v>sa-17-5</v>
      </c>
      <c r="C267" t="s">
        <v>355</v>
      </c>
      <c r="D267" t="s">
        <v>3</v>
      </c>
      <c r="E267">
        <v>3</v>
      </c>
      <c r="F267" s="6">
        <f>VLOOKUP(D267,Products!A$2:C$101,3,FALSE)*E267</f>
        <v>222</v>
      </c>
      <c r="G267" t="s">
        <v>399</v>
      </c>
    </row>
    <row r="268" spans="1:7" x14ac:dyDescent="0.25">
      <c r="A268" s="3">
        <v>44653</v>
      </c>
      <c r="B268" s="2" t="str">
        <f t="shared" si="4"/>
        <v>sa-2-4</v>
      </c>
      <c r="C268" t="s">
        <v>327</v>
      </c>
      <c r="D268" t="s">
        <v>46</v>
      </c>
      <c r="E268">
        <v>6</v>
      </c>
      <c r="F268" s="6">
        <f>VLOOKUP(D268,Products!A$2:C$101,3,FALSE)*E268</f>
        <v>180</v>
      </c>
      <c r="G268" t="s">
        <v>395</v>
      </c>
    </row>
    <row r="269" spans="1:7" x14ac:dyDescent="0.25">
      <c r="A269" s="3">
        <v>44100</v>
      </c>
      <c r="B269" s="2" t="str">
        <f t="shared" si="4"/>
        <v>sa-26-9</v>
      </c>
      <c r="C269" t="s">
        <v>316</v>
      </c>
      <c r="D269" t="s">
        <v>94</v>
      </c>
      <c r="E269">
        <v>3</v>
      </c>
      <c r="F269" s="6">
        <f>VLOOKUP(D269,Products!A$2:C$101,3,FALSE)*E269</f>
        <v>57</v>
      </c>
      <c r="G269" t="s">
        <v>404</v>
      </c>
    </row>
    <row r="270" spans="1:7" x14ac:dyDescent="0.25">
      <c r="A270" s="3">
        <v>44363</v>
      </c>
      <c r="B270" s="2" t="str">
        <f t="shared" si="4"/>
        <v>sa-16-6</v>
      </c>
      <c r="C270" t="s">
        <v>331</v>
      </c>
      <c r="D270" t="s">
        <v>62</v>
      </c>
      <c r="E270">
        <v>2</v>
      </c>
      <c r="F270" s="6">
        <f>VLOOKUP(D270,Products!A$2:C$101,3,FALSE)*E270</f>
        <v>64</v>
      </c>
      <c r="G270" t="s">
        <v>402</v>
      </c>
    </row>
    <row r="271" spans="1:7" x14ac:dyDescent="0.25">
      <c r="A271" s="3">
        <v>44085</v>
      </c>
      <c r="B271" s="2" t="str">
        <f t="shared" si="4"/>
        <v>sa-11-9</v>
      </c>
      <c r="C271" t="s">
        <v>355</v>
      </c>
      <c r="D271" t="s">
        <v>101</v>
      </c>
      <c r="E271">
        <v>3</v>
      </c>
      <c r="F271" s="6">
        <f>VLOOKUP(D271,Products!A$2:C$101,3,FALSE)*E271</f>
        <v>30</v>
      </c>
      <c r="G271" t="s">
        <v>402</v>
      </c>
    </row>
    <row r="272" spans="1:7" x14ac:dyDescent="0.25">
      <c r="A272" s="3">
        <v>44510</v>
      </c>
      <c r="B272" s="2" t="str">
        <f t="shared" si="4"/>
        <v>sa-10-11</v>
      </c>
      <c r="C272" t="s">
        <v>314</v>
      </c>
      <c r="D272" t="s">
        <v>9</v>
      </c>
      <c r="E272">
        <v>5</v>
      </c>
      <c r="F272" s="6">
        <f>VLOOKUP(D272,Products!A$2:C$101,3,FALSE)*E272</f>
        <v>400</v>
      </c>
      <c r="G272" t="s">
        <v>400</v>
      </c>
    </row>
    <row r="273" spans="1:7" x14ac:dyDescent="0.25">
      <c r="A273" s="3">
        <v>44349</v>
      </c>
      <c r="B273" s="2" t="str">
        <f t="shared" si="4"/>
        <v>sa-2-6</v>
      </c>
      <c r="C273" t="s">
        <v>346</v>
      </c>
      <c r="D273" t="s">
        <v>71</v>
      </c>
      <c r="E273">
        <v>2</v>
      </c>
      <c r="F273" s="6">
        <f>VLOOKUP(D273,Products!A$2:C$101,3,FALSE)*E273</f>
        <v>68</v>
      </c>
      <c r="G273" t="s">
        <v>395</v>
      </c>
    </row>
    <row r="274" spans="1:7" x14ac:dyDescent="0.25">
      <c r="A274" s="3">
        <v>44591</v>
      </c>
      <c r="B274" s="2" t="str">
        <f t="shared" si="4"/>
        <v>sa-30-1</v>
      </c>
      <c r="C274" t="s">
        <v>307</v>
      </c>
      <c r="D274" t="s">
        <v>75</v>
      </c>
      <c r="E274">
        <v>5</v>
      </c>
      <c r="F274" s="6">
        <f>VLOOKUP(D274,Products!A$2:C$101,3,FALSE)*E274</f>
        <v>170</v>
      </c>
      <c r="G274" t="s">
        <v>400</v>
      </c>
    </row>
    <row r="275" spans="1:7" x14ac:dyDescent="0.25">
      <c r="A275" s="3">
        <v>43893</v>
      </c>
      <c r="B275" s="2" t="str">
        <f t="shared" si="4"/>
        <v>sa-3-3</v>
      </c>
      <c r="C275" t="s">
        <v>327</v>
      </c>
      <c r="D275" t="s">
        <v>57</v>
      </c>
      <c r="E275">
        <v>4</v>
      </c>
      <c r="F275" s="6">
        <f>VLOOKUP(D275,Products!A$2:C$101,3,FALSE)*E275</f>
        <v>140</v>
      </c>
      <c r="G275" t="s">
        <v>406</v>
      </c>
    </row>
    <row r="276" spans="1:7" x14ac:dyDescent="0.25">
      <c r="A276" s="3">
        <v>43861</v>
      </c>
      <c r="B276" s="2" t="str">
        <f t="shared" si="4"/>
        <v>sa-31-1</v>
      </c>
      <c r="C276" t="s">
        <v>341</v>
      </c>
      <c r="D276" t="s">
        <v>18</v>
      </c>
      <c r="E276">
        <v>6</v>
      </c>
      <c r="F276" s="6">
        <f>VLOOKUP(D276,Products!A$2:C$101,3,FALSE)*E276</f>
        <v>210</v>
      </c>
      <c r="G276" t="s">
        <v>397</v>
      </c>
    </row>
    <row r="277" spans="1:7" x14ac:dyDescent="0.25">
      <c r="A277" s="3">
        <v>44633</v>
      </c>
      <c r="B277" s="2" t="str">
        <f t="shared" si="4"/>
        <v>sa-13-3</v>
      </c>
      <c r="C277" t="s">
        <v>339</v>
      </c>
      <c r="D277" t="s">
        <v>38</v>
      </c>
      <c r="E277">
        <v>2</v>
      </c>
      <c r="F277" s="6">
        <f>VLOOKUP(D277,Products!A$2:C$101,3,FALSE)*E277</f>
        <v>64</v>
      </c>
      <c r="G277" t="s">
        <v>396</v>
      </c>
    </row>
    <row r="278" spans="1:7" x14ac:dyDescent="0.25">
      <c r="A278" s="3">
        <v>43851</v>
      </c>
      <c r="B278" s="2" t="str">
        <f t="shared" si="4"/>
        <v>sa-21-1</v>
      </c>
      <c r="C278" t="s">
        <v>344</v>
      </c>
      <c r="D278" t="s">
        <v>43</v>
      </c>
      <c r="E278">
        <v>3</v>
      </c>
      <c r="F278" s="6">
        <f>VLOOKUP(D278,Products!A$2:C$101,3,FALSE)*E278</f>
        <v>99</v>
      </c>
      <c r="G278" t="s">
        <v>407</v>
      </c>
    </row>
    <row r="279" spans="1:7" x14ac:dyDescent="0.25">
      <c r="A279" s="3">
        <v>44500</v>
      </c>
      <c r="B279" s="2" t="str">
        <f t="shared" si="4"/>
        <v>sa-31-10</v>
      </c>
      <c r="C279" t="s">
        <v>339</v>
      </c>
      <c r="D279" t="s">
        <v>40</v>
      </c>
      <c r="E279">
        <v>5</v>
      </c>
      <c r="F279" s="6">
        <f>VLOOKUP(D279,Products!A$2:C$101,3,FALSE)*E279</f>
        <v>170</v>
      </c>
      <c r="G279" t="s">
        <v>395</v>
      </c>
    </row>
    <row r="280" spans="1:7" x14ac:dyDescent="0.25">
      <c r="A280" s="3">
        <v>43925</v>
      </c>
      <c r="B280" s="2" t="str">
        <f t="shared" si="4"/>
        <v>sa-4-4</v>
      </c>
      <c r="C280" t="s">
        <v>331</v>
      </c>
      <c r="D280" t="s">
        <v>86</v>
      </c>
      <c r="E280">
        <v>5</v>
      </c>
      <c r="F280" s="6">
        <f>VLOOKUP(D280,Products!A$2:C$101,3,FALSE)*E280</f>
        <v>170</v>
      </c>
      <c r="G280" t="s">
        <v>398</v>
      </c>
    </row>
    <row r="281" spans="1:7" x14ac:dyDescent="0.25">
      <c r="A281" s="3">
        <v>44021</v>
      </c>
      <c r="B281" s="2" t="str">
        <f t="shared" si="4"/>
        <v>sa-9-7</v>
      </c>
      <c r="C281" t="s">
        <v>318</v>
      </c>
      <c r="D281" t="s">
        <v>6</v>
      </c>
      <c r="E281">
        <v>4</v>
      </c>
      <c r="F281" s="6">
        <f>VLOOKUP(D281,Products!A$2:C$101,3,FALSE)*E281</f>
        <v>276</v>
      </c>
      <c r="G281" t="s">
        <v>403</v>
      </c>
    </row>
    <row r="282" spans="1:7" x14ac:dyDescent="0.25">
      <c r="A282" s="3">
        <v>43995</v>
      </c>
      <c r="B282" s="2" t="str">
        <f t="shared" si="4"/>
        <v>sa-13-6</v>
      </c>
      <c r="C282" t="s">
        <v>336</v>
      </c>
      <c r="D282" t="s">
        <v>13</v>
      </c>
      <c r="E282">
        <v>4</v>
      </c>
      <c r="F282" s="6">
        <f>VLOOKUP(D282,Products!A$2:C$101,3,FALSE)*E282</f>
        <v>284</v>
      </c>
      <c r="G282" t="s">
        <v>403</v>
      </c>
    </row>
    <row r="283" spans="1:7" x14ac:dyDescent="0.25">
      <c r="A283" s="3">
        <v>44192</v>
      </c>
      <c r="B283" s="2" t="str">
        <f t="shared" si="4"/>
        <v>sa-27-12</v>
      </c>
      <c r="C283" t="s">
        <v>316</v>
      </c>
      <c r="D283" t="s">
        <v>62</v>
      </c>
      <c r="E283">
        <v>3</v>
      </c>
      <c r="F283" s="6">
        <f>VLOOKUP(D283,Products!A$2:C$101,3,FALSE)*E283</f>
        <v>96</v>
      </c>
      <c r="G283" t="s">
        <v>396</v>
      </c>
    </row>
    <row r="284" spans="1:7" x14ac:dyDescent="0.25">
      <c r="A284" s="3">
        <v>44500</v>
      </c>
      <c r="B284" s="2" t="str">
        <f t="shared" si="4"/>
        <v>sa-31-10</v>
      </c>
      <c r="C284" t="s">
        <v>325</v>
      </c>
      <c r="D284" t="s">
        <v>31</v>
      </c>
      <c r="E284">
        <v>2</v>
      </c>
      <c r="F284" s="6">
        <f>VLOOKUP(D284,Products!A$2:C$101,3,FALSE)*E284</f>
        <v>64</v>
      </c>
      <c r="G284" t="s">
        <v>406</v>
      </c>
    </row>
    <row r="285" spans="1:7" x14ac:dyDescent="0.25">
      <c r="A285" s="3">
        <v>44312</v>
      </c>
      <c r="B285" s="2" t="str">
        <f t="shared" si="4"/>
        <v>sa-26-4</v>
      </c>
      <c r="C285" t="s">
        <v>328</v>
      </c>
      <c r="D285" t="s">
        <v>28</v>
      </c>
      <c r="E285">
        <v>2</v>
      </c>
      <c r="F285" s="6">
        <f>VLOOKUP(D285,Products!A$2:C$101,3,FALSE)*E285</f>
        <v>60</v>
      </c>
      <c r="G285" t="s">
        <v>405</v>
      </c>
    </row>
    <row r="286" spans="1:7" x14ac:dyDescent="0.25">
      <c r="A286" s="3">
        <v>44128</v>
      </c>
      <c r="B286" s="2" t="str">
        <f t="shared" si="4"/>
        <v>sa-24-10</v>
      </c>
      <c r="C286" t="s">
        <v>351</v>
      </c>
      <c r="D286" t="s">
        <v>17</v>
      </c>
      <c r="E286">
        <v>4</v>
      </c>
      <c r="F286" s="6">
        <f>VLOOKUP(D286,Products!A$2:C$101,3,FALSE)*E286</f>
        <v>128</v>
      </c>
      <c r="G286" t="s">
        <v>408</v>
      </c>
    </row>
    <row r="287" spans="1:7" x14ac:dyDescent="0.25">
      <c r="A287" s="3">
        <v>44560</v>
      </c>
      <c r="B287" s="2" t="str">
        <f t="shared" si="4"/>
        <v>sa-30-12</v>
      </c>
      <c r="C287" t="s">
        <v>329</v>
      </c>
      <c r="D287" t="s">
        <v>58</v>
      </c>
      <c r="E287">
        <v>5</v>
      </c>
      <c r="F287" s="6">
        <f>VLOOKUP(D287,Products!A$2:C$101,3,FALSE)*E287</f>
        <v>175</v>
      </c>
      <c r="G287" t="s">
        <v>408</v>
      </c>
    </row>
    <row r="288" spans="1:7" x14ac:dyDescent="0.25">
      <c r="A288" s="3">
        <v>44679</v>
      </c>
      <c r="B288" s="2" t="str">
        <f t="shared" si="4"/>
        <v>sa-28-4</v>
      </c>
      <c r="C288" t="s">
        <v>352</v>
      </c>
      <c r="D288" t="s">
        <v>87</v>
      </c>
      <c r="E288">
        <v>3</v>
      </c>
      <c r="F288" s="6">
        <f>VLOOKUP(D288,Products!A$2:C$101,3,FALSE)*E288</f>
        <v>39</v>
      </c>
      <c r="G288" t="s">
        <v>402</v>
      </c>
    </row>
    <row r="289" spans="1:7" x14ac:dyDescent="0.25">
      <c r="A289" s="3">
        <v>44051</v>
      </c>
      <c r="B289" s="2" t="str">
        <f t="shared" si="4"/>
        <v>sa-8-8</v>
      </c>
      <c r="C289" t="s">
        <v>309</v>
      </c>
      <c r="D289" t="s">
        <v>4</v>
      </c>
      <c r="E289">
        <v>4</v>
      </c>
      <c r="F289" s="6">
        <f>VLOOKUP(D289,Products!A$2:C$101,3,FALSE)*E289</f>
        <v>284</v>
      </c>
      <c r="G289" t="s">
        <v>395</v>
      </c>
    </row>
    <row r="290" spans="1:7" x14ac:dyDescent="0.25">
      <c r="A290" s="3">
        <v>44425</v>
      </c>
      <c r="B290" s="2" t="str">
        <f t="shared" si="4"/>
        <v>sa-17-8</v>
      </c>
      <c r="C290" t="s">
        <v>345</v>
      </c>
      <c r="D290" t="s">
        <v>29</v>
      </c>
      <c r="E290">
        <v>5</v>
      </c>
      <c r="F290" s="6">
        <f>VLOOKUP(D290,Products!A$2:C$101,3,FALSE)*E290</f>
        <v>155</v>
      </c>
      <c r="G290" t="s">
        <v>398</v>
      </c>
    </row>
    <row r="291" spans="1:7" x14ac:dyDescent="0.25">
      <c r="A291" s="3">
        <v>44354</v>
      </c>
      <c r="B291" s="2" t="str">
        <f t="shared" si="4"/>
        <v>sa-7-6</v>
      </c>
      <c r="C291" t="s">
        <v>355</v>
      </c>
      <c r="D291" t="s">
        <v>96</v>
      </c>
      <c r="E291">
        <v>5</v>
      </c>
      <c r="F291" s="6">
        <f>VLOOKUP(D291,Products!A$2:C$101,3,FALSE)*E291</f>
        <v>50</v>
      </c>
      <c r="G291" t="s">
        <v>396</v>
      </c>
    </row>
    <row r="292" spans="1:7" x14ac:dyDescent="0.25">
      <c r="A292" s="3">
        <v>44320</v>
      </c>
      <c r="B292" s="2" t="str">
        <f t="shared" si="4"/>
        <v>sa-4-5</v>
      </c>
      <c r="C292" t="s">
        <v>322</v>
      </c>
      <c r="D292" t="s">
        <v>8</v>
      </c>
      <c r="E292">
        <v>2</v>
      </c>
      <c r="F292" s="6">
        <f>VLOOKUP(D292,Products!A$2:C$101,3,FALSE)*E292</f>
        <v>126</v>
      </c>
      <c r="G292" t="s">
        <v>400</v>
      </c>
    </row>
    <row r="293" spans="1:7" x14ac:dyDescent="0.25">
      <c r="A293" s="3">
        <v>43839</v>
      </c>
      <c r="B293" s="2" t="str">
        <f t="shared" si="4"/>
        <v>sa-9-1</v>
      </c>
      <c r="C293" t="s">
        <v>311</v>
      </c>
      <c r="D293" t="s">
        <v>50</v>
      </c>
      <c r="E293">
        <v>3</v>
      </c>
      <c r="F293" s="6">
        <f>VLOOKUP(D293,Products!A$2:C$101,3,FALSE)*E293</f>
        <v>96</v>
      </c>
      <c r="G293" t="s">
        <v>404</v>
      </c>
    </row>
    <row r="294" spans="1:7" x14ac:dyDescent="0.25">
      <c r="A294" s="3">
        <v>44107</v>
      </c>
      <c r="B294" s="2" t="str">
        <f t="shared" si="4"/>
        <v>sa-3-10</v>
      </c>
      <c r="C294" t="s">
        <v>353</v>
      </c>
      <c r="D294" t="s">
        <v>93</v>
      </c>
      <c r="E294">
        <v>6</v>
      </c>
      <c r="F294" s="6">
        <f>VLOOKUP(D294,Products!A$2:C$101,3,FALSE)*E294</f>
        <v>102</v>
      </c>
      <c r="G294" t="s">
        <v>396</v>
      </c>
    </row>
    <row r="295" spans="1:7" x14ac:dyDescent="0.25">
      <c r="A295" s="3">
        <v>44493</v>
      </c>
      <c r="B295" s="2" t="str">
        <f t="shared" si="4"/>
        <v>sa-24-10</v>
      </c>
      <c r="C295" t="s">
        <v>331</v>
      </c>
      <c r="D295" t="s">
        <v>12</v>
      </c>
      <c r="E295">
        <v>6</v>
      </c>
      <c r="F295" s="6">
        <f>VLOOKUP(D295,Products!A$2:C$101,3,FALSE)*E295</f>
        <v>444</v>
      </c>
      <c r="G295" t="s">
        <v>401</v>
      </c>
    </row>
    <row r="296" spans="1:7" x14ac:dyDescent="0.25">
      <c r="A296" s="3">
        <v>44375</v>
      </c>
      <c r="B296" s="2" t="str">
        <f t="shared" si="4"/>
        <v>sa-28-6</v>
      </c>
      <c r="C296" t="s">
        <v>328</v>
      </c>
      <c r="D296" t="s">
        <v>16</v>
      </c>
      <c r="E296">
        <v>2</v>
      </c>
      <c r="F296" s="6">
        <f>VLOOKUP(D296,Products!A$2:C$101,3,FALSE)*E296</f>
        <v>60</v>
      </c>
      <c r="G296" t="s">
        <v>404</v>
      </c>
    </row>
    <row r="297" spans="1:7" x14ac:dyDescent="0.25">
      <c r="A297" s="3">
        <v>44100</v>
      </c>
      <c r="B297" s="2" t="str">
        <f t="shared" si="4"/>
        <v>sa-26-9</v>
      </c>
      <c r="C297" t="s">
        <v>312</v>
      </c>
      <c r="D297" t="s">
        <v>80</v>
      </c>
      <c r="E297">
        <v>2</v>
      </c>
      <c r="F297" s="6">
        <f>VLOOKUP(D297,Products!A$2:C$101,3,FALSE)*E297</f>
        <v>62</v>
      </c>
      <c r="G297" t="s">
        <v>399</v>
      </c>
    </row>
    <row r="298" spans="1:7" x14ac:dyDescent="0.25">
      <c r="A298" s="3">
        <v>44650</v>
      </c>
      <c r="B298" s="2" t="str">
        <f t="shared" si="4"/>
        <v>sa-30-3</v>
      </c>
      <c r="C298" t="s">
        <v>343</v>
      </c>
      <c r="D298" t="s">
        <v>64</v>
      </c>
      <c r="E298">
        <v>5</v>
      </c>
      <c r="F298" s="6">
        <f>VLOOKUP(D298,Products!A$2:C$101,3,FALSE)*E298</f>
        <v>175</v>
      </c>
      <c r="G298" t="s">
        <v>396</v>
      </c>
    </row>
    <row r="299" spans="1:7" x14ac:dyDescent="0.25">
      <c r="A299" s="3">
        <v>44205</v>
      </c>
      <c r="B299" s="2" t="str">
        <f t="shared" si="4"/>
        <v>sa-9-1</v>
      </c>
      <c r="C299" t="s">
        <v>334</v>
      </c>
      <c r="D299" t="s">
        <v>85</v>
      </c>
      <c r="E299">
        <v>6</v>
      </c>
      <c r="F299" s="6">
        <f>VLOOKUP(D299,Products!A$2:C$101,3,FALSE)*E299</f>
        <v>198</v>
      </c>
      <c r="G299" t="s">
        <v>404</v>
      </c>
    </row>
    <row r="300" spans="1:7" x14ac:dyDescent="0.25">
      <c r="A300" s="3">
        <v>44173</v>
      </c>
      <c r="B300" s="2" t="str">
        <f t="shared" si="4"/>
        <v>sa-8-12</v>
      </c>
      <c r="C300" t="s">
        <v>337</v>
      </c>
      <c r="D300" t="s">
        <v>76</v>
      </c>
      <c r="E300">
        <v>3</v>
      </c>
      <c r="F300" s="6">
        <f>VLOOKUP(D300,Products!A$2:C$101,3,FALSE)*E300</f>
        <v>102</v>
      </c>
      <c r="G300" t="s">
        <v>399</v>
      </c>
    </row>
    <row r="301" spans="1:7" x14ac:dyDescent="0.25">
      <c r="A301" s="3">
        <v>44271</v>
      </c>
      <c r="B301" s="2" t="str">
        <f t="shared" si="4"/>
        <v>sa-16-3</v>
      </c>
      <c r="C301" t="s">
        <v>350</v>
      </c>
      <c r="D301" t="s">
        <v>88</v>
      </c>
      <c r="E301">
        <v>5</v>
      </c>
      <c r="F301" s="6">
        <f>VLOOKUP(D301,Products!A$2:C$101,3,FALSE)*E301</f>
        <v>85</v>
      </c>
      <c r="G301" t="s">
        <v>399</v>
      </c>
    </row>
    <row r="302" spans="1:7" x14ac:dyDescent="0.25">
      <c r="A302" s="3">
        <v>43965</v>
      </c>
      <c r="B302" s="2" t="str">
        <f t="shared" si="4"/>
        <v>sa-14-5</v>
      </c>
      <c r="C302" t="s">
        <v>339</v>
      </c>
      <c r="D302" t="s">
        <v>22</v>
      </c>
      <c r="E302">
        <v>2</v>
      </c>
      <c r="F302" s="6">
        <f>VLOOKUP(D302,Products!A$2:C$101,3,FALSE)*E302</f>
        <v>68</v>
      </c>
      <c r="G302" t="s">
        <v>408</v>
      </c>
    </row>
    <row r="303" spans="1:7" x14ac:dyDescent="0.25">
      <c r="A303" s="3">
        <v>43899</v>
      </c>
      <c r="B303" s="2" t="str">
        <f t="shared" si="4"/>
        <v>sa-9-3</v>
      </c>
      <c r="C303" t="s">
        <v>314</v>
      </c>
      <c r="D303" t="s">
        <v>31</v>
      </c>
      <c r="E303">
        <v>5</v>
      </c>
      <c r="F303" s="6">
        <f>VLOOKUP(D303,Products!A$2:C$101,3,FALSE)*E303</f>
        <v>160</v>
      </c>
      <c r="G303" t="s">
        <v>400</v>
      </c>
    </row>
    <row r="304" spans="1:7" x14ac:dyDescent="0.25">
      <c r="A304" s="3">
        <v>44644</v>
      </c>
      <c r="B304" s="2" t="str">
        <f t="shared" si="4"/>
        <v>sa-24-3</v>
      </c>
      <c r="C304" t="s">
        <v>346</v>
      </c>
      <c r="D304" t="s">
        <v>20</v>
      </c>
      <c r="E304">
        <v>4</v>
      </c>
      <c r="F304" s="6">
        <f>VLOOKUP(D304,Products!A$2:C$101,3,FALSE)*E304</f>
        <v>132</v>
      </c>
      <c r="G304" t="s">
        <v>396</v>
      </c>
    </row>
    <row r="305" spans="1:7" x14ac:dyDescent="0.25">
      <c r="A305" s="3">
        <v>44058</v>
      </c>
      <c r="B305" s="2" t="str">
        <f t="shared" si="4"/>
        <v>sa-15-8</v>
      </c>
      <c r="C305" t="s">
        <v>309</v>
      </c>
      <c r="D305" t="s">
        <v>55</v>
      </c>
      <c r="E305">
        <v>3</v>
      </c>
      <c r="F305" s="6">
        <f>VLOOKUP(D305,Products!A$2:C$101,3,FALSE)*E305</f>
        <v>96</v>
      </c>
      <c r="G305" t="s">
        <v>406</v>
      </c>
    </row>
    <row r="306" spans="1:7" x14ac:dyDescent="0.25">
      <c r="A306" s="3">
        <v>44211</v>
      </c>
      <c r="B306" s="2" t="str">
        <f t="shared" si="4"/>
        <v>sa-15-1</v>
      </c>
      <c r="C306" t="s">
        <v>338</v>
      </c>
      <c r="D306" t="s">
        <v>84</v>
      </c>
      <c r="E306">
        <v>3</v>
      </c>
      <c r="F306" s="6">
        <f>VLOOKUP(D306,Products!A$2:C$101,3,FALSE)*E306</f>
        <v>105</v>
      </c>
      <c r="G306" t="s">
        <v>398</v>
      </c>
    </row>
    <row r="307" spans="1:7" x14ac:dyDescent="0.25">
      <c r="A307" s="3">
        <v>44632</v>
      </c>
      <c r="B307" s="2" t="str">
        <f t="shared" si="4"/>
        <v>sa-12-3</v>
      </c>
      <c r="C307" t="s">
        <v>325</v>
      </c>
      <c r="D307" t="s">
        <v>72</v>
      </c>
      <c r="E307">
        <v>4</v>
      </c>
      <c r="F307" s="6">
        <f>VLOOKUP(D307,Products!A$2:C$101,3,FALSE)*E307</f>
        <v>124</v>
      </c>
      <c r="G307" t="s">
        <v>408</v>
      </c>
    </row>
    <row r="308" spans="1:7" x14ac:dyDescent="0.25">
      <c r="A308" s="3">
        <v>44075</v>
      </c>
      <c r="B308" s="2" t="str">
        <f t="shared" si="4"/>
        <v>sa-1-9</v>
      </c>
      <c r="C308" t="s">
        <v>349</v>
      </c>
      <c r="D308" t="s">
        <v>8</v>
      </c>
      <c r="E308">
        <v>3</v>
      </c>
      <c r="F308" s="6">
        <f>VLOOKUP(D308,Products!A$2:C$101,3,FALSE)*E308</f>
        <v>189</v>
      </c>
      <c r="G308" t="s">
        <v>403</v>
      </c>
    </row>
    <row r="309" spans="1:7" x14ac:dyDescent="0.25">
      <c r="A309" s="3">
        <v>43976</v>
      </c>
      <c r="B309" s="2" t="str">
        <f t="shared" si="4"/>
        <v>sa-25-5</v>
      </c>
      <c r="C309" t="s">
        <v>312</v>
      </c>
      <c r="D309" t="s">
        <v>40</v>
      </c>
      <c r="E309">
        <v>4</v>
      </c>
      <c r="F309" s="6">
        <f>VLOOKUP(D309,Products!A$2:C$101,3,FALSE)*E309</f>
        <v>136</v>
      </c>
      <c r="G309" t="s">
        <v>403</v>
      </c>
    </row>
    <row r="310" spans="1:7" x14ac:dyDescent="0.25">
      <c r="A310" s="3">
        <v>44660</v>
      </c>
      <c r="B310" s="2" t="str">
        <f t="shared" si="4"/>
        <v>sa-9-4</v>
      </c>
      <c r="C310" t="s">
        <v>352</v>
      </c>
      <c r="D310" t="s">
        <v>14</v>
      </c>
      <c r="E310">
        <v>6</v>
      </c>
      <c r="F310" s="6">
        <f>VLOOKUP(D310,Products!A$2:C$101,3,FALSE)*E310</f>
        <v>474</v>
      </c>
      <c r="G310" t="s">
        <v>397</v>
      </c>
    </row>
    <row r="311" spans="1:7" x14ac:dyDescent="0.25">
      <c r="A311" s="3">
        <v>44063</v>
      </c>
      <c r="B311" s="2" t="str">
        <f t="shared" si="4"/>
        <v>sa-20-8</v>
      </c>
      <c r="C311" t="s">
        <v>316</v>
      </c>
      <c r="D311" t="s">
        <v>46</v>
      </c>
      <c r="E311">
        <v>3</v>
      </c>
      <c r="F311" s="6">
        <f>VLOOKUP(D311,Products!A$2:C$101,3,FALSE)*E311</f>
        <v>90</v>
      </c>
      <c r="G311" t="s">
        <v>399</v>
      </c>
    </row>
    <row r="312" spans="1:7" x14ac:dyDescent="0.25">
      <c r="A312" s="3">
        <v>44616</v>
      </c>
      <c r="B312" s="2" t="str">
        <f t="shared" si="4"/>
        <v>sa-24-2</v>
      </c>
      <c r="C312" t="s">
        <v>339</v>
      </c>
      <c r="D312" t="s">
        <v>63</v>
      </c>
      <c r="E312">
        <v>2</v>
      </c>
      <c r="F312" s="6">
        <f>VLOOKUP(D312,Products!A$2:C$101,3,FALSE)*E312</f>
        <v>66</v>
      </c>
      <c r="G312" t="s">
        <v>396</v>
      </c>
    </row>
    <row r="313" spans="1:7" x14ac:dyDescent="0.25">
      <c r="A313" s="3">
        <v>44562</v>
      </c>
      <c r="B313" s="2" t="str">
        <f t="shared" si="4"/>
        <v>sa-1-1</v>
      </c>
      <c r="C313" t="s">
        <v>353</v>
      </c>
      <c r="D313" t="s">
        <v>67</v>
      </c>
      <c r="E313">
        <v>3</v>
      </c>
      <c r="F313" s="6">
        <f>VLOOKUP(D313,Products!A$2:C$101,3,FALSE)*E313</f>
        <v>96</v>
      </c>
      <c r="G313" t="s">
        <v>407</v>
      </c>
    </row>
    <row r="314" spans="1:7" x14ac:dyDescent="0.25">
      <c r="A314" s="3">
        <v>44461</v>
      </c>
      <c r="B314" s="2" t="str">
        <f t="shared" si="4"/>
        <v>sa-22-9</v>
      </c>
      <c r="C314" t="s">
        <v>339</v>
      </c>
      <c r="D314" t="s">
        <v>34</v>
      </c>
      <c r="E314">
        <v>5</v>
      </c>
      <c r="F314" s="6">
        <f>VLOOKUP(D314,Products!A$2:C$101,3,FALSE)*E314</f>
        <v>175</v>
      </c>
      <c r="G314" t="s">
        <v>396</v>
      </c>
    </row>
    <row r="315" spans="1:7" x14ac:dyDescent="0.25">
      <c r="A315" s="3">
        <v>44255</v>
      </c>
      <c r="B315" s="2" t="str">
        <f t="shared" si="4"/>
        <v>sa-28-2</v>
      </c>
      <c r="C315" t="s">
        <v>355</v>
      </c>
      <c r="D315" t="s">
        <v>54</v>
      </c>
      <c r="E315">
        <v>5</v>
      </c>
      <c r="F315" s="6">
        <f>VLOOKUP(D315,Products!A$2:C$101,3,FALSE)*E315</f>
        <v>175</v>
      </c>
      <c r="G315" t="s">
        <v>401</v>
      </c>
    </row>
    <row r="316" spans="1:7" x14ac:dyDescent="0.25">
      <c r="A316" s="3">
        <v>44161</v>
      </c>
      <c r="B316" s="2" t="str">
        <f t="shared" si="4"/>
        <v>sa-26-11</v>
      </c>
      <c r="C316" t="s">
        <v>323</v>
      </c>
      <c r="D316" t="s">
        <v>34</v>
      </c>
      <c r="E316">
        <v>3</v>
      </c>
      <c r="F316" s="6">
        <f>VLOOKUP(D316,Products!A$2:C$101,3,FALSE)*E316</f>
        <v>105</v>
      </c>
      <c r="G316" t="s">
        <v>402</v>
      </c>
    </row>
    <row r="317" spans="1:7" x14ac:dyDescent="0.25">
      <c r="A317" s="3">
        <v>43892</v>
      </c>
      <c r="B317" s="2" t="str">
        <f t="shared" si="4"/>
        <v>sa-2-3</v>
      </c>
      <c r="C317" t="s">
        <v>340</v>
      </c>
      <c r="D317" t="s">
        <v>15</v>
      </c>
      <c r="E317">
        <v>2</v>
      </c>
      <c r="F317" s="6">
        <f>VLOOKUP(D317,Products!A$2:C$101,3,FALSE)*E317</f>
        <v>70</v>
      </c>
      <c r="G317" t="s">
        <v>399</v>
      </c>
    </row>
    <row r="318" spans="1:7" x14ac:dyDescent="0.25">
      <c r="A318" s="3">
        <v>44570</v>
      </c>
      <c r="B318" s="2" t="str">
        <f t="shared" si="4"/>
        <v>sa-9-1</v>
      </c>
      <c r="C318" t="s">
        <v>317</v>
      </c>
      <c r="D318" t="s">
        <v>66</v>
      </c>
      <c r="E318">
        <v>6</v>
      </c>
      <c r="F318" s="6">
        <f>VLOOKUP(D318,Products!A$2:C$101,3,FALSE)*E318</f>
        <v>180</v>
      </c>
      <c r="G318" t="s">
        <v>403</v>
      </c>
    </row>
    <row r="319" spans="1:7" x14ac:dyDescent="0.25">
      <c r="A319" s="3">
        <v>43880</v>
      </c>
      <c r="B319" s="2" t="str">
        <f t="shared" si="4"/>
        <v>sa-19-2</v>
      </c>
      <c r="C319" t="s">
        <v>320</v>
      </c>
      <c r="D319" t="s">
        <v>9</v>
      </c>
      <c r="E319">
        <v>4</v>
      </c>
      <c r="F319" s="6">
        <f>VLOOKUP(D319,Products!A$2:C$101,3,FALSE)*E319</f>
        <v>320</v>
      </c>
      <c r="G319" t="s">
        <v>408</v>
      </c>
    </row>
    <row r="320" spans="1:7" x14ac:dyDescent="0.25">
      <c r="A320" s="3">
        <v>44293</v>
      </c>
      <c r="B320" s="2" t="str">
        <f t="shared" si="4"/>
        <v>sa-7-4</v>
      </c>
      <c r="C320" t="s">
        <v>348</v>
      </c>
      <c r="D320" t="s">
        <v>77</v>
      </c>
      <c r="E320">
        <v>4</v>
      </c>
      <c r="F320" s="6">
        <f>VLOOKUP(D320,Products!A$2:C$101,3,FALSE)*E320</f>
        <v>136</v>
      </c>
      <c r="G320" t="s">
        <v>405</v>
      </c>
    </row>
    <row r="321" spans="1:7" x14ac:dyDescent="0.25">
      <c r="A321" s="3">
        <v>43977</v>
      </c>
      <c r="B321" s="2" t="str">
        <f t="shared" si="4"/>
        <v>sa-26-5</v>
      </c>
      <c r="C321" t="s">
        <v>340</v>
      </c>
      <c r="D321" t="s">
        <v>49</v>
      </c>
      <c r="E321">
        <v>5</v>
      </c>
      <c r="F321" s="6">
        <f>VLOOKUP(D321,Products!A$2:C$101,3,FALSE)*E321</f>
        <v>165</v>
      </c>
      <c r="G321" t="s">
        <v>404</v>
      </c>
    </row>
    <row r="322" spans="1:7" x14ac:dyDescent="0.25">
      <c r="A322" s="3">
        <v>43973</v>
      </c>
      <c r="B322" s="2" t="str">
        <f t="shared" si="4"/>
        <v>sa-22-5</v>
      </c>
      <c r="C322" t="s">
        <v>346</v>
      </c>
      <c r="D322" t="s">
        <v>13</v>
      </c>
      <c r="E322">
        <v>3</v>
      </c>
      <c r="F322" s="6">
        <f>VLOOKUP(D322,Products!A$2:C$101,3,FALSE)*E322</f>
        <v>213</v>
      </c>
      <c r="G322" t="s">
        <v>404</v>
      </c>
    </row>
    <row r="323" spans="1:7" x14ac:dyDescent="0.25">
      <c r="A323" s="3">
        <v>44527</v>
      </c>
      <c r="B323" s="2" t="str">
        <f t="shared" ref="B323:B386" si="5">"sa-"&amp;DAY(A323)&amp;"-"&amp;MONTH(A323)</f>
        <v>sa-27-11</v>
      </c>
      <c r="C323" t="s">
        <v>336</v>
      </c>
      <c r="D323" t="s">
        <v>15</v>
      </c>
      <c r="E323">
        <v>2</v>
      </c>
      <c r="F323" s="6">
        <f>VLOOKUP(D323,Products!A$2:C$101,3,FALSE)*E323</f>
        <v>70</v>
      </c>
      <c r="G323" t="s">
        <v>400</v>
      </c>
    </row>
    <row r="324" spans="1:7" x14ac:dyDescent="0.25">
      <c r="A324" s="3">
        <v>44729</v>
      </c>
      <c r="B324" s="2" t="str">
        <f t="shared" si="5"/>
        <v>sa-17-6</v>
      </c>
      <c r="C324" t="s">
        <v>311</v>
      </c>
      <c r="D324" t="s">
        <v>57</v>
      </c>
      <c r="E324">
        <v>4</v>
      </c>
      <c r="F324" s="6">
        <f>VLOOKUP(D324,Products!A$2:C$101,3,FALSE)*E324</f>
        <v>140</v>
      </c>
      <c r="G324" t="s">
        <v>399</v>
      </c>
    </row>
    <row r="325" spans="1:7" x14ac:dyDescent="0.25">
      <c r="A325" s="3">
        <v>44456</v>
      </c>
      <c r="B325" s="2" t="str">
        <f t="shared" si="5"/>
        <v>sa-17-9</v>
      </c>
      <c r="C325" t="s">
        <v>329</v>
      </c>
      <c r="D325" t="s">
        <v>71</v>
      </c>
      <c r="E325">
        <v>2</v>
      </c>
      <c r="F325" s="6">
        <f>VLOOKUP(D325,Products!A$2:C$101,3,FALSE)*E325</f>
        <v>68</v>
      </c>
      <c r="G325" t="s">
        <v>400</v>
      </c>
    </row>
    <row r="326" spans="1:7" x14ac:dyDescent="0.25">
      <c r="A326" s="3">
        <v>44029</v>
      </c>
      <c r="B326" s="2" t="str">
        <f t="shared" si="5"/>
        <v>sa-17-7</v>
      </c>
      <c r="C326" t="s">
        <v>355</v>
      </c>
      <c r="D326" t="s">
        <v>64</v>
      </c>
      <c r="E326">
        <v>5</v>
      </c>
      <c r="F326" s="6">
        <f>VLOOKUP(D326,Products!A$2:C$101,3,FALSE)*E326</f>
        <v>175</v>
      </c>
      <c r="G326" t="s">
        <v>401</v>
      </c>
    </row>
    <row r="327" spans="1:7" x14ac:dyDescent="0.25">
      <c r="A327" s="3">
        <v>44557</v>
      </c>
      <c r="B327" s="2" t="str">
        <f t="shared" si="5"/>
        <v>sa-27-12</v>
      </c>
      <c r="C327" t="s">
        <v>336</v>
      </c>
      <c r="D327" t="s">
        <v>38</v>
      </c>
      <c r="E327">
        <v>5</v>
      </c>
      <c r="F327" s="6">
        <f>VLOOKUP(D327,Products!A$2:C$101,3,FALSE)*E327</f>
        <v>160</v>
      </c>
      <c r="G327" t="s">
        <v>395</v>
      </c>
    </row>
    <row r="328" spans="1:7" x14ac:dyDescent="0.25">
      <c r="A328" s="3">
        <v>44003</v>
      </c>
      <c r="B328" s="2" t="str">
        <f t="shared" si="5"/>
        <v>sa-21-6</v>
      </c>
      <c r="C328" t="s">
        <v>311</v>
      </c>
      <c r="D328" t="s">
        <v>50</v>
      </c>
      <c r="E328">
        <v>2</v>
      </c>
      <c r="F328" s="6">
        <f>VLOOKUP(D328,Products!A$2:C$101,3,FALSE)*E328</f>
        <v>64</v>
      </c>
      <c r="G328" t="s">
        <v>406</v>
      </c>
    </row>
    <row r="329" spans="1:7" x14ac:dyDescent="0.25">
      <c r="A329" s="3">
        <v>44105</v>
      </c>
      <c r="B329" s="2" t="str">
        <f t="shared" si="5"/>
        <v>sa-1-10</v>
      </c>
      <c r="C329" t="s">
        <v>314</v>
      </c>
      <c r="D329" t="s">
        <v>47</v>
      </c>
      <c r="E329">
        <v>3</v>
      </c>
      <c r="F329" s="6">
        <f>VLOOKUP(D329,Products!A$2:C$101,3,FALSE)*E329</f>
        <v>96</v>
      </c>
      <c r="G329" t="s">
        <v>407</v>
      </c>
    </row>
    <row r="330" spans="1:7" x14ac:dyDescent="0.25">
      <c r="A330" s="3">
        <v>44564</v>
      </c>
      <c r="B330" s="2" t="str">
        <f t="shared" si="5"/>
        <v>sa-3-1</v>
      </c>
      <c r="C330" t="s">
        <v>346</v>
      </c>
      <c r="D330" t="s">
        <v>95</v>
      </c>
      <c r="E330">
        <v>4</v>
      </c>
      <c r="F330" s="6">
        <f>VLOOKUP(D330,Products!A$2:C$101,3,FALSE)*E330</f>
        <v>48</v>
      </c>
      <c r="G330" t="s">
        <v>403</v>
      </c>
    </row>
    <row r="331" spans="1:7" x14ac:dyDescent="0.25">
      <c r="A331" s="3">
        <v>44475</v>
      </c>
      <c r="B331" s="2" t="str">
        <f t="shared" si="5"/>
        <v>sa-6-10</v>
      </c>
      <c r="C331" t="s">
        <v>351</v>
      </c>
      <c r="D331" t="s">
        <v>73</v>
      </c>
      <c r="E331">
        <v>2</v>
      </c>
      <c r="F331" s="6">
        <f>VLOOKUP(D331,Products!A$2:C$101,3,FALSE)*E331</f>
        <v>70</v>
      </c>
      <c r="G331" t="s">
        <v>396</v>
      </c>
    </row>
    <row r="332" spans="1:7" x14ac:dyDescent="0.25">
      <c r="A332" s="3">
        <v>44199</v>
      </c>
      <c r="B332" s="2" t="str">
        <f t="shared" si="5"/>
        <v>sa-3-1</v>
      </c>
      <c r="C332" t="s">
        <v>340</v>
      </c>
      <c r="D332" t="s">
        <v>79</v>
      </c>
      <c r="E332">
        <v>2</v>
      </c>
      <c r="F332" s="6">
        <f>VLOOKUP(D332,Products!A$2:C$101,3,FALSE)*E332</f>
        <v>68</v>
      </c>
      <c r="G332" t="s">
        <v>408</v>
      </c>
    </row>
    <row r="333" spans="1:7" x14ac:dyDescent="0.25">
      <c r="A333" s="3">
        <v>44539</v>
      </c>
      <c r="B333" s="2" t="str">
        <f t="shared" si="5"/>
        <v>sa-9-12</v>
      </c>
      <c r="C333" t="s">
        <v>308</v>
      </c>
      <c r="D333" t="s">
        <v>40</v>
      </c>
      <c r="E333">
        <v>2</v>
      </c>
      <c r="F333" s="6">
        <f>VLOOKUP(D333,Products!A$2:C$101,3,FALSE)*E333</f>
        <v>68</v>
      </c>
      <c r="G333" t="s">
        <v>403</v>
      </c>
    </row>
    <row r="334" spans="1:7" x14ac:dyDescent="0.25">
      <c r="A334" s="3">
        <v>44624</v>
      </c>
      <c r="B334" s="2" t="str">
        <f t="shared" si="5"/>
        <v>sa-4-3</v>
      </c>
      <c r="C334" t="s">
        <v>321</v>
      </c>
      <c r="D334" t="s">
        <v>8</v>
      </c>
      <c r="E334">
        <v>5</v>
      </c>
      <c r="F334" s="6">
        <f>VLOOKUP(D334,Products!A$2:C$101,3,FALSE)*E334</f>
        <v>315</v>
      </c>
      <c r="G334" t="s">
        <v>403</v>
      </c>
    </row>
    <row r="335" spans="1:7" x14ac:dyDescent="0.25">
      <c r="A335" s="3">
        <v>44702</v>
      </c>
      <c r="B335" s="2" t="str">
        <f t="shared" si="5"/>
        <v>sa-21-5</v>
      </c>
      <c r="C335" t="s">
        <v>355</v>
      </c>
      <c r="D335" t="s">
        <v>65</v>
      </c>
      <c r="E335">
        <v>2</v>
      </c>
      <c r="F335" s="6">
        <f>VLOOKUP(D335,Products!A$2:C$101,3,FALSE)*E335</f>
        <v>64</v>
      </c>
      <c r="G335" t="s">
        <v>401</v>
      </c>
    </row>
    <row r="336" spans="1:7" x14ac:dyDescent="0.25">
      <c r="A336" s="3">
        <v>44158</v>
      </c>
      <c r="B336" s="2" t="str">
        <f t="shared" si="5"/>
        <v>sa-23-11</v>
      </c>
      <c r="C336" t="s">
        <v>327</v>
      </c>
      <c r="D336" t="s">
        <v>10</v>
      </c>
      <c r="E336">
        <v>5</v>
      </c>
      <c r="F336" s="6">
        <f>VLOOKUP(D336,Products!A$2:C$101,3,FALSE)*E336</f>
        <v>360</v>
      </c>
      <c r="G336" t="s">
        <v>406</v>
      </c>
    </row>
    <row r="337" spans="1:7" x14ac:dyDescent="0.25">
      <c r="A337" s="3">
        <v>44171</v>
      </c>
      <c r="B337" s="2" t="str">
        <f t="shared" si="5"/>
        <v>sa-6-12</v>
      </c>
      <c r="C337" t="s">
        <v>321</v>
      </c>
      <c r="D337" t="s">
        <v>100</v>
      </c>
      <c r="E337">
        <v>3</v>
      </c>
      <c r="F337" s="6">
        <f>VLOOKUP(D337,Products!A$2:C$101,3,FALSE)*E337</f>
        <v>45</v>
      </c>
      <c r="G337" t="s">
        <v>396</v>
      </c>
    </row>
    <row r="338" spans="1:7" x14ac:dyDescent="0.25">
      <c r="A338" s="3">
        <v>44647</v>
      </c>
      <c r="B338" s="2" t="str">
        <f t="shared" si="5"/>
        <v>sa-27-3</v>
      </c>
      <c r="C338" t="s">
        <v>346</v>
      </c>
      <c r="D338" t="s">
        <v>96</v>
      </c>
      <c r="E338">
        <v>3</v>
      </c>
      <c r="F338" s="6">
        <f>VLOOKUP(D338,Products!A$2:C$101,3,FALSE)*E338</f>
        <v>30</v>
      </c>
      <c r="G338" t="s">
        <v>406</v>
      </c>
    </row>
    <row r="339" spans="1:7" x14ac:dyDescent="0.25">
      <c r="A339" s="3">
        <v>44693</v>
      </c>
      <c r="B339" s="2" t="str">
        <f t="shared" si="5"/>
        <v>sa-12-5</v>
      </c>
      <c r="C339" t="s">
        <v>320</v>
      </c>
      <c r="D339" t="s">
        <v>97</v>
      </c>
      <c r="E339">
        <v>5</v>
      </c>
      <c r="F339" s="6">
        <f>VLOOKUP(D339,Products!A$2:C$101,3,FALSE)*E339</f>
        <v>50</v>
      </c>
      <c r="G339" t="s">
        <v>407</v>
      </c>
    </row>
    <row r="340" spans="1:7" x14ac:dyDescent="0.25">
      <c r="A340" s="3">
        <v>44390</v>
      </c>
      <c r="B340" s="2" t="str">
        <f t="shared" si="5"/>
        <v>sa-13-7</v>
      </c>
      <c r="C340" t="s">
        <v>355</v>
      </c>
      <c r="D340" t="s">
        <v>92</v>
      </c>
      <c r="E340">
        <v>5</v>
      </c>
      <c r="F340" s="6">
        <f>VLOOKUP(D340,Products!A$2:C$101,3,FALSE)*E340</f>
        <v>70</v>
      </c>
      <c r="G340" t="s">
        <v>404</v>
      </c>
    </row>
    <row r="341" spans="1:7" x14ac:dyDescent="0.25">
      <c r="A341" s="3">
        <v>44076</v>
      </c>
      <c r="B341" s="2" t="str">
        <f t="shared" si="5"/>
        <v>sa-2-9</v>
      </c>
      <c r="C341" t="s">
        <v>313</v>
      </c>
      <c r="D341" t="s">
        <v>33</v>
      </c>
      <c r="E341">
        <v>4</v>
      </c>
      <c r="F341" s="6">
        <f>VLOOKUP(D341,Products!A$2:C$101,3,FALSE)*E341</f>
        <v>132</v>
      </c>
      <c r="G341" t="s">
        <v>403</v>
      </c>
    </row>
    <row r="342" spans="1:7" x14ac:dyDescent="0.25">
      <c r="A342" s="3">
        <v>44546</v>
      </c>
      <c r="B342" s="2" t="str">
        <f t="shared" si="5"/>
        <v>sa-16-12</v>
      </c>
      <c r="C342" t="s">
        <v>348</v>
      </c>
      <c r="D342" t="s">
        <v>98</v>
      </c>
      <c r="E342">
        <v>5</v>
      </c>
      <c r="F342" s="6">
        <f>VLOOKUP(D342,Products!A$2:C$101,3,FALSE)*E342</f>
        <v>95</v>
      </c>
      <c r="G342" t="s">
        <v>402</v>
      </c>
    </row>
    <row r="343" spans="1:7" x14ac:dyDescent="0.25">
      <c r="A343" s="3">
        <v>44132</v>
      </c>
      <c r="B343" s="2" t="str">
        <f t="shared" si="5"/>
        <v>sa-28-10</v>
      </c>
      <c r="C343" t="s">
        <v>326</v>
      </c>
      <c r="D343" t="s">
        <v>84</v>
      </c>
      <c r="E343">
        <v>6</v>
      </c>
      <c r="F343" s="6">
        <f>VLOOKUP(D343,Products!A$2:C$101,3,FALSE)*E343</f>
        <v>210</v>
      </c>
      <c r="G343" t="s">
        <v>397</v>
      </c>
    </row>
    <row r="344" spans="1:7" x14ac:dyDescent="0.25">
      <c r="A344" s="3">
        <v>44520</v>
      </c>
      <c r="B344" s="2" t="str">
        <f t="shared" si="5"/>
        <v>sa-20-11</v>
      </c>
      <c r="C344" t="s">
        <v>324</v>
      </c>
      <c r="D344" t="s">
        <v>25</v>
      </c>
      <c r="E344">
        <v>5</v>
      </c>
      <c r="F344" s="6">
        <f>VLOOKUP(D344,Products!A$2:C$101,3,FALSE)*E344</f>
        <v>165</v>
      </c>
      <c r="G344" t="s">
        <v>406</v>
      </c>
    </row>
    <row r="345" spans="1:7" x14ac:dyDescent="0.25">
      <c r="A345" s="3">
        <v>44217</v>
      </c>
      <c r="B345" s="2" t="str">
        <f t="shared" si="5"/>
        <v>sa-21-1</v>
      </c>
      <c r="C345" t="s">
        <v>318</v>
      </c>
      <c r="D345" t="s">
        <v>78</v>
      </c>
      <c r="E345">
        <v>4</v>
      </c>
      <c r="F345" s="6">
        <f>VLOOKUP(D345,Products!A$2:C$101,3,FALSE)*E345</f>
        <v>136</v>
      </c>
      <c r="G345" t="s">
        <v>401</v>
      </c>
    </row>
    <row r="346" spans="1:7" x14ac:dyDescent="0.25">
      <c r="A346" s="3">
        <v>44547</v>
      </c>
      <c r="B346" s="2" t="str">
        <f t="shared" si="5"/>
        <v>sa-17-12</v>
      </c>
      <c r="C346" t="s">
        <v>344</v>
      </c>
      <c r="D346" t="s">
        <v>23</v>
      </c>
      <c r="E346">
        <v>3</v>
      </c>
      <c r="F346" s="6">
        <f>VLOOKUP(D346,Products!A$2:C$101,3,FALSE)*E346</f>
        <v>93</v>
      </c>
      <c r="G346" t="s">
        <v>398</v>
      </c>
    </row>
    <row r="347" spans="1:7" x14ac:dyDescent="0.25">
      <c r="A347" s="3">
        <v>43917</v>
      </c>
      <c r="B347" s="2" t="str">
        <f t="shared" si="5"/>
        <v>sa-27-3</v>
      </c>
      <c r="C347" t="s">
        <v>338</v>
      </c>
      <c r="D347" t="s">
        <v>63</v>
      </c>
      <c r="E347">
        <v>6</v>
      </c>
      <c r="F347" s="6">
        <f>VLOOKUP(D347,Products!A$2:C$101,3,FALSE)*E347</f>
        <v>198</v>
      </c>
      <c r="G347" t="s">
        <v>402</v>
      </c>
    </row>
    <row r="348" spans="1:7" x14ac:dyDescent="0.25">
      <c r="A348" s="3">
        <v>44295</v>
      </c>
      <c r="B348" s="2" t="str">
        <f t="shared" si="5"/>
        <v>sa-9-4</v>
      </c>
      <c r="C348" t="s">
        <v>313</v>
      </c>
      <c r="D348" t="s">
        <v>28</v>
      </c>
      <c r="E348">
        <v>5</v>
      </c>
      <c r="F348" s="6">
        <f>VLOOKUP(D348,Products!A$2:C$101,3,FALSE)*E348</f>
        <v>150</v>
      </c>
      <c r="G348" t="s">
        <v>403</v>
      </c>
    </row>
    <row r="349" spans="1:7" x14ac:dyDescent="0.25">
      <c r="A349" s="3">
        <v>44732</v>
      </c>
      <c r="B349" s="2" t="str">
        <f t="shared" si="5"/>
        <v>sa-20-6</v>
      </c>
      <c r="C349" t="s">
        <v>311</v>
      </c>
      <c r="D349" t="s">
        <v>50</v>
      </c>
      <c r="E349">
        <v>5</v>
      </c>
      <c r="F349" s="6">
        <f>VLOOKUP(D349,Products!A$2:C$101,3,FALSE)*E349</f>
        <v>160</v>
      </c>
      <c r="G349" t="s">
        <v>404</v>
      </c>
    </row>
    <row r="350" spans="1:7" x14ac:dyDescent="0.25">
      <c r="A350" s="3">
        <v>44003</v>
      </c>
      <c r="B350" s="2" t="str">
        <f t="shared" si="5"/>
        <v>sa-21-6</v>
      </c>
      <c r="C350" t="s">
        <v>326</v>
      </c>
      <c r="D350" t="s">
        <v>65</v>
      </c>
      <c r="E350">
        <v>6</v>
      </c>
      <c r="F350" s="6">
        <f>VLOOKUP(D350,Products!A$2:C$101,3,FALSE)*E350</f>
        <v>192</v>
      </c>
      <c r="G350" t="s">
        <v>406</v>
      </c>
    </row>
    <row r="351" spans="1:7" x14ac:dyDescent="0.25">
      <c r="A351" s="3">
        <v>43946</v>
      </c>
      <c r="B351" s="2" t="str">
        <f t="shared" si="5"/>
        <v>sa-25-4</v>
      </c>
      <c r="C351" t="s">
        <v>313</v>
      </c>
      <c r="D351" t="s">
        <v>29</v>
      </c>
      <c r="E351">
        <v>6</v>
      </c>
      <c r="F351" s="6">
        <f>VLOOKUP(D351,Products!A$2:C$101,3,FALSE)*E351</f>
        <v>186</v>
      </c>
      <c r="G351" t="s">
        <v>397</v>
      </c>
    </row>
    <row r="352" spans="1:7" x14ac:dyDescent="0.25">
      <c r="A352" s="3">
        <v>44282</v>
      </c>
      <c r="B352" s="2" t="str">
        <f t="shared" si="5"/>
        <v>sa-27-3</v>
      </c>
      <c r="C352" t="s">
        <v>321</v>
      </c>
      <c r="D352" t="s">
        <v>40</v>
      </c>
      <c r="E352">
        <v>6</v>
      </c>
      <c r="F352" s="6">
        <f>VLOOKUP(D352,Products!A$2:C$101,3,FALSE)*E352</f>
        <v>204</v>
      </c>
      <c r="G352" t="s">
        <v>400</v>
      </c>
    </row>
    <row r="353" spans="1:7" x14ac:dyDescent="0.25">
      <c r="A353" s="3">
        <v>44166</v>
      </c>
      <c r="B353" s="2" t="str">
        <f t="shared" si="5"/>
        <v>sa-1-12</v>
      </c>
      <c r="C353" t="s">
        <v>328</v>
      </c>
      <c r="D353" t="s">
        <v>77</v>
      </c>
      <c r="E353">
        <v>3</v>
      </c>
      <c r="F353" s="6">
        <f>VLOOKUP(D353,Products!A$2:C$101,3,FALSE)*E353</f>
        <v>102</v>
      </c>
      <c r="G353" t="s">
        <v>402</v>
      </c>
    </row>
    <row r="354" spans="1:7" x14ac:dyDescent="0.25">
      <c r="A354" s="3">
        <v>44629</v>
      </c>
      <c r="B354" s="2" t="str">
        <f t="shared" si="5"/>
        <v>sa-9-3</v>
      </c>
      <c r="C354" t="s">
        <v>310</v>
      </c>
      <c r="D354" t="s">
        <v>31</v>
      </c>
      <c r="E354">
        <v>2</v>
      </c>
      <c r="F354" s="6">
        <f>VLOOKUP(D354,Products!A$2:C$101,3,FALSE)*E354</f>
        <v>64</v>
      </c>
      <c r="G354" t="s">
        <v>396</v>
      </c>
    </row>
    <row r="355" spans="1:7" x14ac:dyDescent="0.25">
      <c r="A355" s="3">
        <v>44100</v>
      </c>
      <c r="B355" s="2" t="str">
        <f t="shared" si="5"/>
        <v>sa-26-9</v>
      </c>
      <c r="C355" t="s">
        <v>354</v>
      </c>
      <c r="D355" t="s">
        <v>83</v>
      </c>
      <c r="E355">
        <v>2</v>
      </c>
      <c r="F355" s="6">
        <f>VLOOKUP(D355,Products!A$2:C$101,3,FALSE)*E355</f>
        <v>60</v>
      </c>
      <c r="G355" t="s">
        <v>404</v>
      </c>
    </row>
    <row r="356" spans="1:7" x14ac:dyDescent="0.25">
      <c r="A356" s="3">
        <v>43932</v>
      </c>
      <c r="B356" s="2" t="str">
        <f t="shared" si="5"/>
        <v>sa-11-4</v>
      </c>
      <c r="C356" t="s">
        <v>337</v>
      </c>
      <c r="D356" t="s">
        <v>88</v>
      </c>
      <c r="E356">
        <v>5</v>
      </c>
      <c r="F356" s="6">
        <f>VLOOKUP(D356,Products!A$2:C$101,3,FALSE)*E356</f>
        <v>85</v>
      </c>
      <c r="G356" t="s">
        <v>402</v>
      </c>
    </row>
    <row r="357" spans="1:7" x14ac:dyDescent="0.25">
      <c r="A357" s="3">
        <v>44212</v>
      </c>
      <c r="B357" s="2" t="str">
        <f t="shared" si="5"/>
        <v>sa-16-1</v>
      </c>
      <c r="C357" t="s">
        <v>338</v>
      </c>
      <c r="D357" t="s">
        <v>18</v>
      </c>
      <c r="E357">
        <v>5</v>
      </c>
      <c r="F357" s="6">
        <f>VLOOKUP(D357,Products!A$2:C$101,3,FALSE)*E357</f>
        <v>175</v>
      </c>
      <c r="G357" t="s">
        <v>399</v>
      </c>
    </row>
    <row r="358" spans="1:7" x14ac:dyDescent="0.25">
      <c r="A358" s="3">
        <v>44515</v>
      </c>
      <c r="B358" s="2" t="str">
        <f t="shared" si="5"/>
        <v>sa-15-11</v>
      </c>
      <c r="C358" t="s">
        <v>328</v>
      </c>
      <c r="D358" t="s">
        <v>24</v>
      </c>
      <c r="E358">
        <v>2</v>
      </c>
      <c r="F358" s="6">
        <f>VLOOKUP(D358,Products!A$2:C$101,3,FALSE)*E358</f>
        <v>66</v>
      </c>
      <c r="G358" t="s">
        <v>407</v>
      </c>
    </row>
    <row r="359" spans="1:7" x14ac:dyDescent="0.25">
      <c r="A359" s="3">
        <v>43853</v>
      </c>
      <c r="B359" s="2" t="str">
        <f t="shared" si="5"/>
        <v>sa-23-1</v>
      </c>
      <c r="C359" t="s">
        <v>312</v>
      </c>
      <c r="D359" t="s">
        <v>88</v>
      </c>
      <c r="E359">
        <v>5</v>
      </c>
      <c r="F359" s="6">
        <f>VLOOKUP(D359,Products!A$2:C$101,3,FALSE)*E359</f>
        <v>85</v>
      </c>
      <c r="G359" t="s">
        <v>404</v>
      </c>
    </row>
    <row r="360" spans="1:7" x14ac:dyDescent="0.25">
      <c r="A360" s="3">
        <v>44539</v>
      </c>
      <c r="B360" s="2" t="str">
        <f t="shared" si="5"/>
        <v>sa-9-12</v>
      </c>
      <c r="C360" t="s">
        <v>310</v>
      </c>
      <c r="D360" t="s">
        <v>15</v>
      </c>
      <c r="E360">
        <v>2</v>
      </c>
      <c r="F360" s="6">
        <f>VLOOKUP(D360,Products!A$2:C$101,3,FALSE)*E360</f>
        <v>70</v>
      </c>
      <c r="G360" t="s">
        <v>408</v>
      </c>
    </row>
    <row r="361" spans="1:7" x14ac:dyDescent="0.25">
      <c r="A361" s="3">
        <v>44014</v>
      </c>
      <c r="B361" s="2" t="str">
        <f t="shared" si="5"/>
        <v>sa-2-7</v>
      </c>
      <c r="C361" t="s">
        <v>326</v>
      </c>
      <c r="D361" t="s">
        <v>57</v>
      </c>
      <c r="E361">
        <v>6</v>
      </c>
      <c r="F361" s="6">
        <f>VLOOKUP(D361,Products!A$2:C$101,3,FALSE)*E361</f>
        <v>210</v>
      </c>
      <c r="G361" t="s">
        <v>402</v>
      </c>
    </row>
    <row r="362" spans="1:7" x14ac:dyDescent="0.25">
      <c r="A362" s="3">
        <v>44088</v>
      </c>
      <c r="B362" s="2" t="str">
        <f t="shared" si="5"/>
        <v>sa-14-9</v>
      </c>
      <c r="C362" t="s">
        <v>345</v>
      </c>
      <c r="D362" t="s">
        <v>14</v>
      </c>
      <c r="E362">
        <v>3</v>
      </c>
      <c r="F362" s="6">
        <f>VLOOKUP(D362,Products!A$2:C$101,3,FALSE)*E362</f>
        <v>237</v>
      </c>
      <c r="G362" t="s">
        <v>395</v>
      </c>
    </row>
    <row r="363" spans="1:7" x14ac:dyDescent="0.25">
      <c r="A363" s="3">
        <v>44397</v>
      </c>
      <c r="B363" s="2" t="str">
        <f t="shared" si="5"/>
        <v>sa-20-7</v>
      </c>
      <c r="C363" t="s">
        <v>349</v>
      </c>
      <c r="D363" t="s">
        <v>34</v>
      </c>
      <c r="E363">
        <v>3</v>
      </c>
      <c r="F363" s="6">
        <f>VLOOKUP(D363,Products!A$2:C$101,3,FALSE)*E363</f>
        <v>105</v>
      </c>
      <c r="G363" t="s">
        <v>399</v>
      </c>
    </row>
    <row r="364" spans="1:7" x14ac:dyDescent="0.25">
      <c r="A364" s="3">
        <v>43922</v>
      </c>
      <c r="B364" s="2" t="str">
        <f t="shared" si="5"/>
        <v>sa-1-4</v>
      </c>
      <c r="C364" t="s">
        <v>328</v>
      </c>
      <c r="D364" t="s">
        <v>101</v>
      </c>
      <c r="E364">
        <v>3</v>
      </c>
      <c r="F364" s="6">
        <f>VLOOKUP(D364,Products!A$2:C$101,3,FALSE)*E364</f>
        <v>30</v>
      </c>
      <c r="G364" t="s">
        <v>406</v>
      </c>
    </row>
    <row r="365" spans="1:7" x14ac:dyDescent="0.25">
      <c r="A365" s="3">
        <v>44081</v>
      </c>
      <c r="B365" s="2" t="str">
        <f t="shared" si="5"/>
        <v>sa-7-9</v>
      </c>
      <c r="C365" t="s">
        <v>310</v>
      </c>
      <c r="D365" t="s">
        <v>21</v>
      </c>
      <c r="E365">
        <v>2</v>
      </c>
      <c r="F365" s="6">
        <f>VLOOKUP(D365,Products!A$2:C$101,3,FALSE)*E365</f>
        <v>66</v>
      </c>
      <c r="G365" t="s">
        <v>405</v>
      </c>
    </row>
    <row r="366" spans="1:7" x14ac:dyDescent="0.25">
      <c r="A366" s="3">
        <v>43964</v>
      </c>
      <c r="B366" s="2" t="str">
        <f t="shared" si="5"/>
        <v>sa-13-5</v>
      </c>
      <c r="C366" t="s">
        <v>342</v>
      </c>
      <c r="D366" t="s">
        <v>42</v>
      </c>
      <c r="E366">
        <v>3</v>
      </c>
      <c r="F366" s="6">
        <f>VLOOKUP(D366,Products!A$2:C$101,3,FALSE)*E366</f>
        <v>102</v>
      </c>
      <c r="G366" t="s">
        <v>398</v>
      </c>
    </row>
    <row r="367" spans="1:7" x14ac:dyDescent="0.25">
      <c r="A367" s="3">
        <v>44351</v>
      </c>
      <c r="B367" s="2" t="str">
        <f t="shared" si="5"/>
        <v>sa-4-6</v>
      </c>
      <c r="C367" t="s">
        <v>348</v>
      </c>
      <c r="D367" t="s">
        <v>56</v>
      </c>
      <c r="E367">
        <v>3</v>
      </c>
      <c r="F367" s="6">
        <f>VLOOKUP(D367,Products!A$2:C$101,3,FALSE)*E367</f>
        <v>90</v>
      </c>
      <c r="G367" t="s">
        <v>395</v>
      </c>
    </row>
    <row r="368" spans="1:7" x14ac:dyDescent="0.25">
      <c r="A368" s="3">
        <v>44680</v>
      </c>
      <c r="B368" s="2" t="str">
        <f t="shared" si="5"/>
        <v>sa-29-4</v>
      </c>
      <c r="C368" t="s">
        <v>309</v>
      </c>
      <c r="D368" t="s">
        <v>48</v>
      </c>
      <c r="E368">
        <v>6</v>
      </c>
      <c r="F368" s="6">
        <f>VLOOKUP(D368,Products!A$2:C$101,3,FALSE)*E368</f>
        <v>198</v>
      </c>
      <c r="G368" t="s">
        <v>404</v>
      </c>
    </row>
    <row r="369" spans="1:7" x14ac:dyDescent="0.25">
      <c r="A369" s="3">
        <v>44561</v>
      </c>
      <c r="B369" s="2" t="str">
        <f t="shared" si="5"/>
        <v>sa-31-12</v>
      </c>
      <c r="C369" t="s">
        <v>329</v>
      </c>
      <c r="D369" t="s">
        <v>10</v>
      </c>
      <c r="E369">
        <v>5</v>
      </c>
      <c r="F369" s="6">
        <f>VLOOKUP(D369,Products!A$2:C$101,3,FALSE)*E369</f>
        <v>360</v>
      </c>
      <c r="G369" t="s">
        <v>399</v>
      </c>
    </row>
    <row r="370" spans="1:7" x14ac:dyDescent="0.25">
      <c r="A370" s="3">
        <v>44350</v>
      </c>
      <c r="B370" s="2" t="str">
        <f t="shared" si="5"/>
        <v>sa-3-6</v>
      </c>
      <c r="C370" t="s">
        <v>321</v>
      </c>
      <c r="D370" t="s">
        <v>36</v>
      </c>
      <c r="E370">
        <v>3</v>
      </c>
      <c r="F370" s="6">
        <f>VLOOKUP(D370,Products!A$2:C$101,3,FALSE)*E370</f>
        <v>102</v>
      </c>
      <c r="G370" t="s">
        <v>395</v>
      </c>
    </row>
    <row r="371" spans="1:7" x14ac:dyDescent="0.25">
      <c r="A371" s="3">
        <v>44593</v>
      </c>
      <c r="B371" s="2" t="str">
        <f t="shared" si="5"/>
        <v>sa-1-2</v>
      </c>
      <c r="C371" t="s">
        <v>353</v>
      </c>
      <c r="D371" t="s">
        <v>64</v>
      </c>
      <c r="E371">
        <v>6</v>
      </c>
      <c r="F371" s="6">
        <f>VLOOKUP(D371,Products!A$2:C$101,3,FALSE)*E371</f>
        <v>210</v>
      </c>
      <c r="G371" t="s">
        <v>405</v>
      </c>
    </row>
    <row r="372" spans="1:7" x14ac:dyDescent="0.25">
      <c r="A372" s="3">
        <v>44013</v>
      </c>
      <c r="B372" s="2" t="str">
        <f t="shared" si="5"/>
        <v>sa-1-7</v>
      </c>
      <c r="C372" t="s">
        <v>348</v>
      </c>
      <c r="D372" t="s">
        <v>36</v>
      </c>
      <c r="E372">
        <v>4</v>
      </c>
      <c r="F372" s="6">
        <f>VLOOKUP(D372,Products!A$2:C$101,3,FALSE)*E372</f>
        <v>136</v>
      </c>
      <c r="G372" t="s">
        <v>397</v>
      </c>
    </row>
    <row r="373" spans="1:7" x14ac:dyDescent="0.25">
      <c r="A373" s="3">
        <v>44474</v>
      </c>
      <c r="B373" s="2" t="str">
        <f t="shared" si="5"/>
        <v>sa-5-10</v>
      </c>
      <c r="C373" t="s">
        <v>352</v>
      </c>
      <c r="D373" t="s">
        <v>23</v>
      </c>
      <c r="E373">
        <v>5</v>
      </c>
      <c r="F373" s="6">
        <f>VLOOKUP(D373,Products!A$2:C$101,3,FALSE)*E373</f>
        <v>155</v>
      </c>
      <c r="G373" t="s">
        <v>397</v>
      </c>
    </row>
    <row r="374" spans="1:7" x14ac:dyDescent="0.25">
      <c r="A374" s="3">
        <v>44130</v>
      </c>
      <c r="B374" s="2" t="str">
        <f t="shared" si="5"/>
        <v>sa-26-10</v>
      </c>
      <c r="C374" t="s">
        <v>316</v>
      </c>
      <c r="D374" t="s">
        <v>82</v>
      </c>
      <c r="E374">
        <v>4</v>
      </c>
      <c r="F374" s="6">
        <f>VLOOKUP(D374,Products!A$2:C$101,3,FALSE)*E374</f>
        <v>128</v>
      </c>
      <c r="G374" t="s">
        <v>406</v>
      </c>
    </row>
    <row r="375" spans="1:7" x14ac:dyDescent="0.25">
      <c r="A375" s="3">
        <v>43924</v>
      </c>
      <c r="B375" s="2" t="str">
        <f t="shared" si="5"/>
        <v>sa-3-4</v>
      </c>
      <c r="C375" t="s">
        <v>332</v>
      </c>
      <c r="D375" t="s">
        <v>78</v>
      </c>
      <c r="E375">
        <v>4</v>
      </c>
      <c r="F375" s="6">
        <f>VLOOKUP(D375,Products!A$2:C$101,3,FALSE)*E375</f>
        <v>136</v>
      </c>
      <c r="G375" t="s">
        <v>403</v>
      </c>
    </row>
    <row r="376" spans="1:7" x14ac:dyDescent="0.25">
      <c r="A376" s="3">
        <v>44196</v>
      </c>
      <c r="B376" s="2" t="str">
        <f t="shared" si="5"/>
        <v>sa-31-12</v>
      </c>
      <c r="C376" t="s">
        <v>309</v>
      </c>
      <c r="D376" t="s">
        <v>43</v>
      </c>
      <c r="E376">
        <v>3</v>
      </c>
      <c r="F376" s="6">
        <f>VLOOKUP(D376,Products!A$2:C$101,3,FALSE)*E376</f>
        <v>99</v>
      </c>
      <c r="G376" t="s">
        <v>395</v>
      </c>
    </row>
    <row r="377" spans="1:7" x14ac:dyDescent="0.25">
      <c r="A377" s="3">
        <v>44132</v>
      </c>
      <c r="B377" s="2" t="str">
        <f t="shared" si="5"/>
        <v>sa-28-10</v>
      </c>
      <c r="C377" t="s">
        <v>326</v>
      </c>
      <c r="D377" t="s">
        <v>15</v>
      </c>
      <c r="E377">
        <v>5</v>
      </c>
      <c r="F377" s="6">
        <f>VLOOKUP(D377,Products!A$2:C$101,3,FALSE)*E377</f>
        <v>175</v>
      </c>
      <c r="G377" t="s">
        <v>399</v>
      </c>
    </row>
    <row r="378" spans="1:7" x14ac:dyDescent="0.25">
      <c r="A378" s="3">
        <v>44227</v>
      </c>
      <c r="B378" s="2" t="str">
        <f t="shared" si="5"/>
        <v>sa-31-1</v>
      </c>
      <c r="C378" t="s">
        <v>329</v>
      </c>
      <c r="D378" t="s">
        <v>9</v>
      </c>
      <c r="E378">
        <v>5</v>
      </c>
      <c r="F378" s="6">
        <f>VLOOKUP(D378,Products!A$2:C$101,3,FALSE)*E378</f>
        <v>400</v>
      </c>
      <c r="G378" t="s">
        <v>405</v>
      </c>
    </row>
    <row r="379" spans="1:7" x14ac:dyDescent="0.25">
      <c r="A379" s="3">
        <v>44210</v>
      </c>
      <c r="B379" s="2" t="str">
        <f t="shared" si="5"/>
        <v>sa-14-1</v>
      </c>
      <c r="C379" t="s">
        <v>349</v>
      </c>
      <c r="D379" t="s">
        <v>41</v>
      </c>
      <c r="E379">
        <v>6</v>
      </c>
      <c r="F379" s="6">
        <f>VLOOKUP(D379,Products!A$2:C$101,3,FALSE)*E379</f>
        <v>198</v>
      </c>
      <c r="G379" t="s">
        <v>401</v>
      </c>
    </row>
    <row r="380" spans="1:7" x14ac:dyDescent="0.25">
      <c r="A380" s="3">
        <v>44707</v>
      </c>
      <c r="B380" s="2" t="str">
        <f t="shared" si="5"/>
        <v>sa-26-5</v>
      </c>
      <c r="C380" t="s">
        <v>343</v>
      </c>
      <c r="D380" t="s">
        <v>11</v>
      </c>
      <c r="E380">
        <v>2</v>
      </c>
      <c r="F380" s="6">
        <f>VLOOKUP(D380,Products!A$2:C$101,3,FALSE)*E380</f>
        <v>156</v>
      </c>
      <c r="G380" t="s">
        <v>408</v>
      </c>
    </row>
    <row r="381" spans="1:7" x14ac:dyDescent="0.25">
      <c r="A381" s="3">
        <v>44367</v>
      </c>
      <c r="B381" s="2" t="str">
        <f t="shared" si="5"/>
        <v>sa-20-6</v>
      </c>
      <c r="C381" t="s">
        <v>339</v>
      </c>
      <c r="D381" t="s">
        <v>70</v>
      </c>
      <c r="E381">
        <v>3</v>
      </c>
      <c r="F381" s="6">
        <f>VLOOKUP(D381,Products!A$2:C$101,3,FALSE)*E381</f>
        <v>105</v>
      </c>
      <c r="G381" t="s">
        <v>395</v>
      </c>
    </row>
    <row r="382" spans="1:7" x14ac:dyDescent="0.25">
      <c r="A382" s="3">
        <v>44539</v>
      </c>
      <c r="B382" s="2" t="str">
        <f t="shared" si="5"/>
        <v>sa-9-12</v>
      </c>
      <c r="C382" t="s">
        <v>332</v>
      </c>
      <c r="D382" t="s">
        <v>80</v>
      </c>
      <c r="E382">
        <v>5</v>
      </c>
      <c r="F382" s="6">
        <f>VLOOKUP(D382,Products!A$2:C$101,3,FALSE)*E382</f>
        <v>155</v>
      </c>
      <c r="G382" t="s">
        <v>401</v>
      </c>
    </row>
    <row r="383" spans="1:7" x14ac:dyDescent="0.25">
      <c r="A383" s="3">
        <v>44561</v>
      </c>
      <c r="B383" s="2" t="str">
        <f t="shared" si="5"/>
        <v>sa-31-12</v>
      </c>
      <c r="C383" t="s">
        <v>353</v>
      </c>
      <c r="D383" t="s">
        <v>5</v>
      </c>
      <c r="E383">
        <v>3</v>
      </c>
      <c r="F383" s="6">
        <f>VLOOKUP(D383,Products!A$2:C$101,3,FALSE)*E383</f>
        <v>240</v>
      </c>
      <c r="G383" t="s">
        <v>397</v>
      </c>
    </row>
    <row r="384" spans="1:7" x14ac:dyDescent="0.25">
      <c r="A384" s="3">
        <v>44672</v>
      </c>
      <c r="B384" s="2" t="str">
        <f t="shared" si="5"/>
        <v>sa-21-4</v>
      </c>
      <c r="C384" t="s">
        <v>339</v>
      </c>
      <c r="D384" t="s">
        <v>74</v>
      </c>
      <c r="E384">
        <v>2</v>
      </c>
      <c r="F384" s="6">
        <f>VLOOKUP(D384,Products!A$2:C$101,3,FALSE)*E384</f>
        <v>68</v>
      </c>
      <c r="G384" t="s">
        <v>399</v>
      </c>
    </row>
    <row r="385" spans="1:7" x14ac:dyDescent="0.25">
      <c r="A385" s="3">
        <v>43964</v>
      </c>
      <c r="B385" s="2" t="str">
        <f t="shared" si="5"/>
        <v>sa-13-5</v>
      </c>
      <c r="C385" t="s">
        <v>327</v>
      </c>
      <c r="D385" t="s">
        <v>97</v>
      </c>
      <c r="E385">
        <v>5</v>
      </c>
      <c r="F385" s="6">
        <f>VLOOKUP(D385,Products!A$2:C$101,3,FALSE)*E385</f>
        <v>50</v>
      </c>
      <c r="G385" t="s">
        <v>395</v>
      </c>
    </row>
    <row r="386" spans="1:7" x14ac:dyDescent="0.25">
      <c r="A386" s="3">
        <v>44248</v>
      </c>
      <c r="B386" s="2" t="str">
        <f t="shared" si="5"/>
        <v>sa-21-2</v>
      </c>
      <c r="C386" t="s">
        <v>336</v>
      </c>
      <c r="D386" t="s">
        <v>8</v>
      </c>
      <c r="E386">
        <v>3</v>
      </c>
      <c r="F386" s="6">
        <f>VLOOKUP(D386,Products!A$2:C$101,3,FALSE)*E386</f>
        <v>189</v>
      </c>
      <c r="G386" t="s">
        <v>398</v>
      </c>
    </row>
    <row r="387" spans="1:7" x14ac:dyDescent="0.25">
      <c r="A387" s="3">
        <v>44023</v>
      </c>
      <c r="B387" s="2" t="str">
        <f t="shared" ref="B387:B450" si="6">"sa-"&amp;DAY(A387)&amp;"-"&amp;MONTH(A387)</f>
        <v>sa-11-7</v>
      </c>
      <c r="C387" t="s">
        <v>336</v>
      </c>
      <c r="D387" t="s">
        <v>2</v>
      </c>
      <c r="E387">
        <v>5</v>
      </c>
      <c r="F387" s="6">
        <f>VLOOKUP(D387,Products!A$2:C$101,3,FALSE)*E387</f>
        <v>330</v>
      </c>
      <c r="G387" t="s">
        <v>399</v>
      </c>
    </row>
    <row r="388" spans="1:7" x14ac:dyDescent="0.25">
      <c r="A388" s="3">
        <v>44188</v>
      </c>
      <c r="B388" s="2" t="str">
        <f t="shared" si="6"/>
        <v>sa-23-12</v>
      </c>
      <c r="C388" t="s">
        <v>321</v>
      </c>
      <c r="D388" t="s">
        <v>3</v>
      </c>
      <c r="E388">
        <v>3</v>
      </c>
      <c r="F388" s="6">
        <f>VLOOKUP(D388,Products!A$2:C$101,3,FALSE)*E388</f>
        <v>222</v>
      </c>
      <c r="G388" t="s">
        <v>401</v>
      </c>
    </row>
    <row r="389" spans="1:7" x14ac:dyDescent="0.25">
      <c r="A389" s="3">
        <v>44013</v>
      </c>
      <c r="B389" s="2" t="str">
        <f t="shared" si="6"/>
        <v>sa-1-7</v>
      </c>
      <c r="C389" t="s">
        <v>330</v>
      </c>
      <c r="D389" t="s">
        <v>31</v>
      </c>
      <c r="E389">
        <v>5</v>
      </c>
      <c r="F389" s="6">
        <f>VLOOKUP(D389,Products!A$2:C$101,3,FALSE)*E389</f>
        <v>160</v>
      </c>
      <c r="G389" t="s">
        <v>397</v>
      </c>
    </row>
    <row r="390" spans="1:7" x14ac:dyDescent="0.25">
      <c r="A390" s="3">
        <v>44242</v>
      </c>
      <c r="B390" s="2" t="str">
        <f t="shared" si="6"/>
        <v>sa-15-2</v>
      </c>
      <c r="C390" t="s">
        <v>313</v>
      </c>
      <c r="D390" t="s">
        <v>80</v>
      </c>
      <c r="E390">
        <v>3</v>
      </c>
      <c r="F390" s="6">
        <f>VLOOKUP(D390,Products!A$2:C$101,3,FALSE)*E390</f>
        <v>93</v>
      </c>
      <c r="G390" t="s">
        <v>400</v>
      </c>
    </row>
    <row r="391" spans="1:7" x14ac:dyDescent="0.25">
      <c r="A391" s="3">
        <v>44354</v>
      </c>
      <c r="B391" s="2" t="str">
        <f t="shared" si="6"/>
        <v>sa-7-6</v>
      </c>
      <c r="C391" t="s">
        <v>313</v>
      </c>
      <c r="D391" t="s">
        <v>58</v>
      </c>
      <c r="E391">
        <v>4</v>
      </c>
      <c r="F391" s="6">
        <f>VLOOKUP(D391,Products!A$2:C$101,3,FALSE)*E391</f>
        <v>140</v>
      </c>
      <c r="G391" t="s">
        <v>402</v>
      </c>
    </row>
    <row r="392" spans="1:7" x14ac:dyDescent="0.25">
      <c r="A392" s="3">
        <v>44615</v>
      </c>
      <c r="B392" s="2" t="str">
        <f t="shared" si="6"/>
        <v>sa-23-2</v>
      </c>
      <c r="C392" t="s">
        <v>319</v>
      </c>
      <c r="D392" t="s">
        <v>87</v>
      </c>
      <c r="E392">
        <v>4</v>
      </c>
      <c r="F392" s="6">
        <f>VLOOKUP(D392,Products!A$2:C$101,3,FALSE)*E392</f>
        <v>52</v>
      </c>
      <c r="G392" t="s">
        <v>407</v>
      </c>
    </row>
    <row r="393" spans="1:7" x14ac:dyDescent="0.25">
      <c r="A393" s="3">
        <v>44140</v>
      </c>
      <c r="B393" s="2" t="str">
        <f t="shared" si="6"/>
        <v>sa-5-11</v>
      </c>
      <c r="C393" t="s">
        <v>323</v>
      </c>
      <c r="D393" t="s">
        <v>80</v>
      </c>
      <c r="E393">
        <v>6</v>
      </c>
      <c r="F393" s="6">
        <f>VLOOKUP(D393,Products!A$2:C$101,3,FALSE)*E393</f>
        <v>186</v>
      </c>
      <c r="G393" t="s">
        <v>401</v>
      </c>
    </row>
    <row r="394" spans="1:7" x14ac:dyDescent="0.25">
      <c r="A394" s="3">
        <v>44560</v>
      </c>
      <c r="B394" s="2" t="str">
        <f t="shared" si="6"/>
        <v>sa-30-12</v>
      </c>
      <c r="C394" t="s">
        <v>338</v>
      </c>
      <c r="D394" t="s">
        <v>57</v>
      </c>
      <c r="E394">
        <v>3</v>
      </c>
      <c r="F394" s="6">
        <f>VLOOKUP(D394,Products!A$2:C$101,3,FALSE)*E394</f>
        <v>105</v>
      </c>
      <c r="G394" t="s">
        <v>407</v>
      </c>
    </row>
    <row r="395" spans="1:7" x14ac:dyDescent="0.25">
      <c r="A395" s="3">
        <v>44653</v>
      </c>
      <c r="B395" s="2" t="str">
        <f t="shared" si="6"/>
        <v>sa-2-4</v>
      </c>
      <c r="C395" t="s">
        <v>335</v>
      </c>
      <c r="D395" t="s">
        <v>14</v>
      </c>
      <c r="E395">
        <v>2</v>
      </c>
      <c r="F395" s="6">
        <f>VLOOKUP(D395,Products!A$2:C$101,3,FALSE)*E395</f>
        <v>158</v>
      </c>
      <c r="G395" t="s">
        <v>395</v>
      </c>
    </row>
    <row r="396" spans="1:7" x14ac:dyDescent="0.25">
      <c r="A396" s="3">
        <v>43900</v>
      </c>
      <c r="B396" s="2" t="str">
        <f t="shared" si="6"/>
        <v>sa-10-3</v>
      </c>
      <c r="C396" t="s">
        <v>323</v>
      </c>
      <c r="D396" t="s">
        <v>46</v>
      </c>
      <c r="E396">
        <v>6</v>
      </c>
      <c r="F396" s="6">
        <f>VLOOKUP(D396,Products!A$2:C$101,3,FALSE)*E396</f>
        <v>180</v>
      </c>
      <c r="G396" t="s">
        <v>397</v>
      </c>
    </row>
    <row r="397" spans="1:7" x14ac:dyDescent="0.25">
      <c r="A397" s="3">
        <v>44616</v>
      </c>
      <c r="B397" s="2" t="str">
        <f t="shared" si="6"/>
        <v>sa-24-2</v>
      </c>
      <c r="C397" t="s">
        <v>322</v>
      </c>
      <c r="D397" t="s">
        <v>19</v>
      </c>
      <c r="E397">
        <v>4</v>
      </c>
      <c r="F397" s="6">
        <f>VLOOKUP(D397,Products!A$2:C$101,3,FALSE)*E397</f>
        <v>132</v>
      </c>
      <c r="G397" t="s">
        <v>404</v>
      </c>
    </row>
    <row r="398" spans="1:7" x14ac:dyDescent="0.25">
      <c r="A398" s="3">
        <v>44527</v>
      </c>
      <c r="B398" s="2" t="str">
        <f t="shared" si="6"/>
        <v>sa-27-11</v>
      </c>
      <c r="C398" t="s">
        <v>327</v>
      </c>
      <c r="D398" t="s">
        <v>62</v>
      </c>
      <c r="E398">
        <v>6</v>
      </c>
      <c r="F398" s="6">
        <f>VLOOKUP(D398,Products!A$2:C$101,3,FALSE)*E398</f>
        <v>192</v>
      </c>
      <c r="G398" t="s">
        <v>402</v>
      </c>
    </row>
    <row r="399" spans="1:7" x14ac:dyDescent="0.25">
      <c r="A399" s="3">
        <v>44491</v>
      </c>
      <c r="B399" s="2" t="str">
        <f t="shared" si="6"/>
        <v>sa-22-10</v>
      </c>
      <c r="C399" t="s">
        <v>314</v>
      </c>
      <c r="D399" t="s">
        <v>51</v>
      </c>
      <c r="E399">
        <v>2</v>
      </c>
      <c r="F399" s="6">
        <f>VLOOKUP(D399,Products!A$2:C$101,3,FALSE)*E399</f>
        <v>62</v>
      </c>
      <c r="G399" t="s">
        <v>401</v>
      </c>
    </row>
    <row r="400" spans="1:7" x14ac:dyDescent="0.25">
      <c r="A400" s="3">
        <v>44317</v>
      </c>
      <c r="B400" s="2" t="str">
        <f t="shared" si="6"/>
        <v>sa-1-5</v>
      </c>
      <c r="C400" t="s">
        <v>311</v>
      </c>
      <c r="D400" t="s">
        <v>19</v>
      </c>
      <c r="E400">
        <v>6</v>
      </c>
      <c r="F400" s="6">
        <f>VLOOKUP(D400,Products!A$2:C$101,3,FALSE)*E400</f>
        <v>198</v>
      </c>
      <c r="G400" t="s">
        <v>408</v>
      </c>
    </row>
    <row r="401" spans="1:7" x14ac:dyDescent="0.25">
      <c r="A401" s="3">
        <v>44090</v>
      </c>
      <c r="B401" s="2" t="str">
        <f t="shared" si="6"/>
        <v>sa-16-9</v>
      </c>
      <c r="C401" t="s">
        <v>339</v>
      </c>
      <c r="D401" t="s">
        <v>41</v>
      </c>
      <c r="E401">
        <v>4</v>
      </c>
      <c r="F401" s="6">
        <f>VLOOKUP(D401,Products!A$2:C$101,3,FALSE)*E401</f>
        <v>132</v>
      </c>
      <c r="G401" t="s">
        <v>403</v>
      </c>
    </row>
    <row r="402" spans="1:7" x14ac:dyDescent="0.25">
      <c r="A402" s="3">
        <v>43887</v>
      </c>
      <c r="B402" s="2" t="str">
        <f t="shared" si="6"/>
        <v>sa-26-2</v>
      </c>
      <c r="C402" t="s">
        <v>331</v>
      </c>
      <c r="D402" t="s">
        <v>40</v>
      </c>
      <c r="E402">
        <v>3</v>
      </c>
      <c r="F402" s="6">
        <f>VLOOKUP(D402,Products!A$2:C$101,3,FALSE)*E402</f>
        <v>102</v>
      </c>
      <c r="G402" t="s">
        <v>399</v>
      </c>
    </row>
    <row r="403" spans="1:7" x14ac:dyDescent="0.25">
      <c r="A403" s="3">
        <v>44135</v>
      </c>
      <c r="B403" s="2" t="str">
        <f t="shared" si="6"/>
        <v>sa-31-10</v>
      </c>
      <c r="C403" t="s">
        <v>308</v>
      </c>
      <c r="D403" t="s">
        <v>4</v>
      </c>
      <c r="E403">
        <v>5</v>
      </c>
      <c r="F403" s="6">
        <f>VLOOKUP(D403,Products!A$2:C$101,3,FALSE)*E403</f>
        <v>355</v>
      </c>
      <c r="G403" t="s">
        <v>397</v>
      </c>
    </row>
    <row r="404" spans="1:7" x14ac:dyDescent="0.25">
      <c r="A404" s="3">
        <v>43924</v>
      </c>
      <c r="B404" s="2" t="str">
        <f t="shared" si="6"/>
        <v>sa-3-4</v>
      </c>
      <c r="C404" t="s">
        <v>325</v>
      </c>
      <c r="D404" t="s">
        <v>54</v>
      </c>
      <c r="E404">
        <v>3</v>
      </c>
      <c r="F404" s="6">
        <f>VLOOKUP(D404,Products!A$2:C$101,3,FALSE)*E404</f>
        <v>105</v>
      </c>
      <c r="G404" t="s">
        <v>405</v>
      </c>
    </row>
    <row r="405" spans="1:7" x14ac:dyDescent="0.25">
      <c r="A405" s="3">
        <v>44551</v>
      </c>
      <c r="B405" s="2" t="str">
        <f t="shared" si="6"/>
        <v>sa-21-12</v>
      </c>
      <c r="C405" t="s">
        <v>342</v>
      </c>
      <c r="D405" t="s">
        <v>98</v>
      </c>
      <c r="E405">
        <v>6</v>
      </c>
      <c r="F405" s="6">
        <f>VLOOKUP(D405,Products!A$2:C$101,3,FALSE)*E405</f>
        <v>114</v>
      </c>
      <c r="G405" t="s">
        <v>403</v>
      </c>
    </row>
    <row r="406" spans="1:7" x14ac:dyDescent="0.25">
      <c r="A406" s="3">
        <v>43952</v>
      </c>
      <c r="B406" s="2" t="str">
        <f t="shared" si="6"/>
        <v>sa-1-5</v>
      </c>
      <c r="C406" t="s">
        <v>317</v>
      </c>
      <c r="D406" t="s">
        <v>98</v>
      </c>
      <c r="E406">
        <v>6</v>
      </c>
      <c r="F406" s="6">
        <f>VLOOKUP(D406,Products!A$2:C$101,3,FALSE)*E406</f>
        <v>114</v>
      </c>
      <c r="G406" t="s">
        <v>406</v>
      </c>
    </row>
    <row r="407" spans="1:7" x14ac:dyDescent="0.25">
      <c r="A407" s="3">
        <v>43997</v>
      </c>
      <c r="B407" s="2" t="str">
        <f t="shared" si="6"/>
        <v>sa-15-6</v>
      </c>
      <c r="C407" t="s">
        <v>342</v>
      </c>
      <c r="D407" t="s">
        <v>16</v>
      </c>
      <c r="E407">
        <v>5</v>
      </c>
      <c r="F407" s="6">
        <f>VLOOKUP(D407,Products!A$2:C$101,3,FALSE)*E407</f>
        <v>150</v>
      </c>
      <c r="G407" t="s">
        <v>402</v>
      </c>
    </row>
    <row r="408" spans="1:7" x14ac:dyDescent="0.25">
      <c r="A408" s="3">
        <v>44033</v>
      </c>
      <c r="B408" s="2" t="str">
        <f t="shared" si="6"/>
        <v>sa-21-7</v>
      </c>
      <c r="C408" t="s">
        <v>317</v>
      </c>
      <c r="D408" t="s">
        <v>29</v>
      </c>
      <c r="E408">
        <v>4</v>
      </c>
      <c r="F408" s="6">
        <f>VLOOKUP(D408,Products!A$2:C$101,3,FALSE)*E408</f>
        <v>124</v>
      </c>
      <c r="G408" t="s">
        <v>404</v>
      </c>
    </row>
    <row r="409" spans="1:7" x14ac:dyDescent="0.25">
      <c r="A409" s="3">
        <v>44512</v>
      </c>
      <c r="B409" s="2" t="str">
        <f t="shared" si="6"/>
        <v>sa-12-11</v>
      </c>
      <c r="C409" t="s">
        <v>349</v>
      </c>
      <c r="D409" t="s">
        <v>24</v>
      </c>
      <c r="E409">
        <v>4</v>
      </c>
      <c r="F409" s="6">
        <f>VLOOKUP(D409,Products!A$2:C$101,3,FALSE)*E409</f>
        <v>132</v>
      </c>
      <c r="G409" t="s">
        <v>400</v>
      </c>
    </row>
    <row r="410" spans="1:7" x14ac:dyDescent="0.25">
      <c r="A410" s="3">
        <v>43894</v>
      </c>
      <c r="B410" s="2" t="str">
        <f t="shared" si="6"/>
        <v>sa-4-3</v>
      </c>
      <c r="C410" t="s">
        <v>342</v>
      </c>
      <c r="D410" t="s">
        <v>55</v>
      </c>
      <c r="E410">
        <v>6</v>
      </c>
      <c r="F410" s="6">
        <f>VLOOKUP(D410,Products!A$2:C$101,3,FALSE)*E410</f>
        <v>192</v>
      </c>
      <c r="G410" t="s">
        <v>397</v>
      </c>
    </row>
    <row r="411" spans="1:7" x14ac:dyDescent="0.25">
      <c r="A411" s="3">
        <v>44184</v>
      </c>
      <c r="B411" s="2" t="str">
        <f t="shared" si="6"/>
        <v>sa-19-12</v>
      </c>
      <c r="C411" t="s">
        <v>314</v>
      </c>
      <c r="D411" t="s">
        <v>40</v>
      </c>
      <c r="E411">
        <v>4</v>
      </c>
      <c r="F411" s="6">
        <f>VLOOKUP(D411,Products!A$2:C$101,3,FALSE)*E411</f>
        <v>136</v>
      </c>
      <c r="G411" t="s">
        <v>408</v>
      </c>
    </row>
    <row r="412" spans="1:7" x14ac:dyDescent="0.25">
      <c r="A412" s="3">
        <v>44023</v>
      </c>
      <c r="B412" s="2" t="str">
        <f t="shared" si="6"/>
        <v>sa-11-7</v>
      </c>
      <c r="C412" t="s">
        <v>354</v>
      </c>
      <c r="D412" t="s">
        <v>17</v>
      </c>
      <c r="E412">
        <v>6</v>
      </c>
      <c r="F412" s="6">
        <f>VLOOKUP(D412,Products!A$2:C$101,3,FALSE)*E412</f>
        <v>192</v>
      </c>
      <c r="G412" t="s">
        <v>406</v>
      </c>
    </row>
    <row r="413" spans="1:7" x14ac:dyDescent="0.25">
      <c r="A413" s="3">
        <v>44093</v>
      </c>
      <c r="B413" s="2" t="str">
        <f t="shared" si="6"/>
        <v>sa-19-9</v>
      </c>
      <c r="C413" t="s">
        <v>343</v>
      </c>
      <c r="D413" t="s">
        <v>51</v>
      </c>
      <c r="E413">
        <v>6</v>
      </c>
      <c r="F413" s="6">
        <f>VLOOKUP(D413,Products!A$2:C$101,3,FALSE)*E413</f>
        <v>186</v>
      </c>
      <c r="G413" t="s">
        <v>402</v>
      </c>
    </row>
    <row r="414" spans="1:7" x14ac:dyDescent="0.25">
      <c r="A414" s="3">
        <v>44725</v>
      </c>
      <c r="B414" s="2" t="str">
        <f t="shared" si="6"/>
        <v>sa-13-6</v>
      </c>
      <c r="C414" t="s">
        <v>317</v>
      </c>
      <c r="D414" t="s">
        <v>32</v>
      </c>
      <c r="E414">
        <v>3</v>
      </c>
      <c r="F414" s="6">
        <f>VLOOKUP(D414,Products!A$2:C$101,3,FALSE)*E414</f>
        <v>102</v>
      </c>
      <c r="G414" t="s">
        <v>395</v>
      </c>
    </row>
    <row r="415" spans="1:7" x14ac:dyDescent="0.25">
      <c r="A415" s="3">
        <v>44301</v>
      </c>
      <c r="B415" s="2" t="str">
        <f t="shared" si="6"/>
        <v>sa-15-4</v>
      </c>
      <c r="C415" t="s">
        <v>325</v>
      </c>
      <c r="D415" t="s">
        <v>18</v>
      </c>
      <c r="E415">
        <v>4</v>
      </c>
      <c r="F415" s="6">
        <f>VLOOKUP(D415,Products!A$2:C$101,3,FALSE)*E415</f>
        <v>140</v>
      </c>
      <c r="G415" t="s">
        <v>396</v>
      </c>
    </row>
    <row r="416" spans="1:7" x14ac:dyDescent="0.25">
      <c r="A416" s="3">
        <v>43916</v>
      </c>
      <c r="B416" s="2" t="str">
        <f t="shared" si="6"/>
        <v>sa-26-3</v>
      </c>
      <c r="C416" t="s">
        <v>323</v>
      </c>
      <c r="D416" t="s">
        <v>98</v>
      </c>
      <c r="E416">
        <v>5</v>
      </c>
      <c r="F416" s="6">
        <f>VLOOKUP(D416,Products!A$2:C$101,3,FALSE)*E416</f>
        <v>95</v>
      </c>
      <c r="G416" t="s">
        <v>398</v>
      </c>
    </row>
    <row r="417" spans="1:7" x14ac:dyDescent="0.25">
      <c r="A417" s="3">
        <v>44225</v>
      </c>
      <c r="B417" s="2" t="str">
        <f t="shared" si="6"/>
        <v>sa-29-1</v>
      </c>
      <c r="C417" t="s">
        <v>342</v>
      </c>
      <c r="D417" t="s">
        <v>72</v>
      </c>
      <c r="E417">
        <v>5</v>
      </c>
      <c r="F417" s="6">
        <f>VLOOKUP(D417,Products!A$2:C$101,3,FALSE)*E417</f>
        <v>155</v>
      </c>
      <c r="G417" t="s">
        <v>399</v>
      </c>
    </row>
    <row r="418" spans="1:7" x14ac:dyDescent="0.25">
      <c r="A418" s="3">
        <v>44040</v>
      </c>
      <c r="B418" s="2" t="str">
        <f t="shared" si="6"/>
        <v>sa-28-7</v>
      </c>
      <c r="C418" t="s">
        <v>314</v>
      </c>
      <c r="D418" t="s">
        <v>33</v>
      </c>
      <c r="E418">
        <v>5</v>
      </c>
      <c r="F418" s="6">
        <f>VLOOKUP(D418,Products!A$2:C$101,3,FALSE)*E418</f>
        <v>165</v>
      </c>
      <c r="G418" t="s">
        <v>404</v>
      </c>
    </row>
    <row r="419" spans="1:7" x14ac:dyDescent="0.25">
      <c r="A419" s="3">
        <v>44137</v>
      </c>
      <c r="B419" s="2" t="str">
        <f t="shared" si="6"/>
        <v>sa-2-11</v>
      </c>
      <c r="C419" t="s">
        <v>345</v>
      </c>
      <c r="D419" t="s">
        <v>49</v>
      </c>
      <c r="E419">
        <v>2</v>
      </c>
      <c r="F419" s="6">
        <f>VLOOKUP(D419,Products!A$2:C$101,3,FALSE)*E419</f>
        <v>66</v>
      </c>
      <c r="G419" t="s">
        <v>408</v>
      </c>
    </row>
    <row r="420" spans="1:7" x14ac:dyDescent="0.25">
      <c r="A420" s="3">
        <v>44636</v>
      </c>
      <c r="B420" s="2" t="str">
        <f t="shared" si="6"/>
        <v>sa-16-3</v>
      </c>
      <c r="C420" t="s">
        <v>322</v>
      </c>
      <c r="D420" t="s">
        <v>26</v>
      </c>
      <c r="E420">
        <v>5</v>
      </c>
      <c r="F420" s="6">
        <f>VLOOKUP(D420,Products!A$2:C$101,3,FALSE)*E420</f>
        <v>165</v>
      </c>
      <c r="G420" t="s">
        <v>398</v>
      </c>
    </row>
    <row r="421" spans="1:7" x14ac:dyDescent="0.25">
      <c r="A421" s="3">
        <v>44696</v>
      </c>
      <c r="B421" s="2" t="str">
        <f t="shared" si="6"/>
        <v>sa-15-5</v>
      </c>
      <c r="C421" t="s">
        <v>318</v>
      </c>
      <c r="D421" t="s">
        <v>98</v>
      </c>
      <c r="E421">
        <v>4</v>
      </c>
      <c r="F421" s="6">
        <f>VLOOKUP(D421,Products!A$2:C$101,3,FALSE)*E421</f>
        <v>76</v>
      </c>
      <c r="G421" t="s">
        <v>403</v>
      </c>
    </row>
    <row r="422" spans="1:7" x14ac:dyDescent="0.25">
      <c r="A422" s="3">
        <v>44699</v>
      </c>
      <c r="B422" s="2" t="str">
        <f t="shared" si="6"/>
        <v>sa-18-5</v>
      </c>
      <c r="C422" t="s">
        <v>353</v>
      </c>
      <c r="D422" t="s">
        <v>39</v>
      </c>
      <c r="E422">
        <v>3</v>
      </c>
      <c r="F422" s="6">
        <f>VLOOKUP(D422,Products!A$2:C$101,3,FALSE)*E422</f>
        <v>96</v>
      </c>
      <c r="G422" t="s">
        <v>395</v>
      </c>
    </row>
    <row r="423" spans="1:7" x14ac:dyDescent="0.25">
      <c r="A423" s="3">
        <v>43950</v>
      </c>
      <c r="B423" s="2" t="str">
        <f t="shared" si="6"/>
        <v>sa-29-4</v>
      </c>
      <c r="C423" t="s">
        <v>351</v>
      </c>
      <c r="D423" t="s">
        <v>4</v>
      </c>
      <c r="E423">
        <v>6</v>
      </c>
      <c r="F423" s="6">
        <f>VLOOKUP(D423,Products!A$2:C$101,3,FALSE)*E423</f>
        <v>426</v>
      </c>
      <c r="G423" t="s">
        <v>407</v>
      </c>
    </row>
    <row r="424" spans="1:7" x14ac:dyDescent="0.25">
      <c r="A424" s="3">
        <v>44046</v>
      </c>
      <c r="B424" s="2" t="str">
        <f t="shared" si="6"/>
        <v>sa-3-8</v>
      </c>
      <c r="C424" t="s">
        <v>336</v>
      </c>
      <c r="D424" t="s">
        <v>88</v>
      </c>
      <c r="E424">
        <v>4</v>
      </c>
      <c r="F424" s="6">
        <f>VLOOKUP(D424,Products!A$2:C$101,3,FALSE)*E424</f>
        <v>68</v>
      </c>
      <c r="G424" t="s">
        <v>402</v>
      </c>
    </row>
    <row r="425" spans="1:7" x14ac:dyDescent="0.25">
      <c r="A425" s="3">
        <v>44304</v>
      </c>
      <c r="B425" s="2" t="str">
        <f t="shared" si="6"/>
        <v>sa-18-4</v>
      </c>
      <c r="C425" t="s">
        <v>351</v>
      </c>
      <c r="D425" t="s">
        <v>75</v>
      </c>
      <c r="E425">
        <v>4</v>
      </c>
      <c r="F425" s="6">
        <f>VLOOKUP(D425,Products!A$2:C$101,3,FALSE)*E425</f>
        <v>136</v>
      </c>
      <c r="G425" t="s">
        <v>401</v>
      </c>
    </row>
    <row r="426" spans="1:7" x14ac:dyDescent="0.25">
      <c r="A426" s="3">
        <v>44472</v>
      </c>
      <c r="B426" s="2" t="str">
        <f t="shared" si="6"/>
        <v>sa-3-10</v>
      </c>
      <c r="C426" t="s">
        <v>317</v>
      </c>
      <c r="D426" t="s">
        <v>67</v>
      </c>
      <c r="E426">
        <v>4</v>
      </c>
      <c r="F426" s="6">
        <f>VLOOKUP(D426,Products!A$2:C$101,3,FALSE)*E426</f>
        <v>128</v>
      </c>
      <c r="G426" t="s">
        <v>398</v>
      </c>
    </row>
    <row r="427" spans="1:7" x14ac:dyDescent="0.25">
      <c r="A427" s="3">
        <v>44059</v>
      </c>
      <c r="B427" s="2" t="str">
        <f t="shared" si="6"/>
        <v>sa-16-8</v>
      </c>
      <c r="C427" t="s">
        <v>351</v>
      </c>
      <c r="D427" t="s">
        <v>98</v>
      </c>
      <c r="E427">
        <v>4</v>
      </c>
      <c r="F427" s="6">
        <f>VLOOKUP(D427,Products!A$2:C$101,3,FALSE)*E427</f>
        <v>76</v>
      </c>
      <c r="G427" t="s">
        <v>400</v>
      </c>
    </row>
    <row r="428" spans="1:7" x14ac:dyDescent="0.25">
      <c r="A428" s="3">
        <v>44723</v>
      </c>
      <c r="B428" s="2" t="str">
        <f t="shared" si="6"/>
        <v>sa-11-6</v>
      </c>
      <c r="C428" t="s">
        <v>326</v>
      </c>
      <c r="D428" t="s">
        <v>2</v>
      </c>
      <c r="E428">
        <v>4</v>
      </c>
      <c r="F428" s="6">
        <f>VLOOKUP(D428,Products!A$2:C$101,3,FALSE)*E428</f>
        <v>264</v>
      </c>
      <c r="G428" t="s">
        <v>402</v>
      </c>
    </row>
    <row r="429" spans="1:7" x14ac:dyDescent="0.25">
      <c r="A429" s="3">
        <v>43922</v>
      </c>
      <c r="B429" s="2" t="str">
        <f t="shared" si="6"/>
        <v>sa-1-4</v>
      </c>
      <c r="C429" t="s">
        <v>334</v>
      </c>
      <c r="D429" t="s">
        <v>65</v>
      </c>
      <c r="E429">
        <v>6</v>
      </c>
      <c r="F429" s="6">
        <f>VLOOKUP(D429,Products!A$2:C$101,3,FALSE)*E429</f>
        <v>192</v>
      </c>
      <c r="G429" t="s">
        <v>398</v>
      </c>
    </row>
    <row r="430" spans="1:7" x14ac:dyDescent="0.25">
      <c r="A430" s="3">
        <v>44248</v>
      </c>
      <c r="B430" s="2" t="str">
        <f t="shared" si="6"/>
        <v>sa-21-2</v>
      </c>
      <c r="C430" t="s">
        <v>330</v>
      </c>
      <c r="D430" t="s">
        <v>4</v>
      </c>
      <c r="E430">
        <v>2</v>
      </c>
      <c r="F430" s="6">
        <f>VLOOKUP(D430,Products!A$2:C$101,3,FALSE)*E430</f>
        <v>142</v>
      </c>
      <c r="G430" t="s">
        <v>407</v>
      </c>
    </row>
    <row r="431" spans="1:7" x14ac:dyDescent="0.25">
      <c r="A431" s="3">
        <v>43937</v>
      </c>
      <c r="B431" s="2" t="str">
        <f t="shared" si="6"/>
        <v>sa-16-4</v>
      </c>
      <c r="C431" t="s">
        <v>335</v>
      </c>
      <c r="D431" t="s">
        <v>59</v>
      </c>
      <c r="E431">
        <v>5</v>
      </c>
      <c r="F431" s="6">
        <f>VLOOKUP(D431,Products!A$2:C$101,3,FALSE)*E431</f>
        <v>175</v>
      </c>
      <c r="G431" t="s">
        <v>403</v>
      </c>
    </row>
    <row r="432" spans="1:7" x14ac:dyDescent="0.25">
      <c r="A432" s="3">
        <v>44091</v>
      </c>
      <c r="B432" s="2" t="str">
        <f t="shared" si="6"/>
        <v>sa-17-9</v>
      </c>
      <c r="C432" t="s">
        <v>308</v>
      </c>
      <c r="D432" t="s">
        <v>8</v>
      </c>
      <c r="E432">
        <v>2</v>
      </c>
      <c r="F432" s="6">
        <f>VLOOKUP(D432,Products!A$2:C$101,3,FALSE)*E432</f>
        <v>126</v>
      </c>
      <c r="G432" t="s">
        <v>395</v>
      </c>
    </row>
    <row r="433" spans="1:7" x14ac:dyDescent="0.25">
      <c r="A433" s="3">
        <v>43901</v>
      </c>
      <c r="B433" s="2" t="str">
        <f t="shared" si="6"/>
        <v>sa-11-3</v>
      </c>
      <c r="C433" t="s">
        <v>330</v>
      </c>
      <c r="D433" t="s">
        <v>50</v>
      </c>
      <c r="E433">
        <v>4</v>
      </c>
      <c r="F433" s="6">
        <f>VLOOKUP(D433,Products!A$2:C$101,3,FALSE)*E433</f>
        <v>128</v>
      </c>
      <c r="G433" t="s">
        <v>395</v>
      </c>
    </row>
    <row r="434" spans="1:7" x14ac:dyDescent="0.25">
      <c r="A434" s="3">
        <v>44465</v>
      </c>
      <c r="B434" s="2" t="str">
        <f t="shared" si="6"/>
        <v>sa-26-9</v>
      </c>
      <c r="C434" t="s">
        <v>343</v>
      </c>
      <c r="D434" t="s">
        <v>85</v>
      </c>
      <c r="E434">
        <v>5</v>
      </c>
      <c r="F434" s="6">
        <f>VLOOKUP(D434,Products!A$2:C$101,3,FALSE)*E434</f>
        <v>165</v>
      </c>
      <c r="G434" t="s">
        <v>403</v>
      </c>
    </row>
    <row r="435" spans="1:7" x14ac:dyDescent="0.25">
      <c r="A435" s="3">
        <v>44457</v>
      </c>
      <c r="B435" s="2" t="str">
        <f t="shared" si="6"/>
        <v>sa-18-9</v>
      </c>
      <c r="C435" t="s">
        <v>322</v>
      </c>
      <c r="D435" t="s">
        <v>29</v>
      </c>
      <c r="E435">
        <v>5</v>
      </c>
      <c r="F435" s="6">
        <f>VLOOKUP(D435,Products!A$2:C$101,3,FALSE)*E435</f>
        <v>155</v>
      </c>
      <c r="G435" t="s">
        <v>405</v>
      </c>
    </row>
    <row r="436" spans="1:7" x14ac:dyDescent="0.25">
      <c r="A436" s="3">
        <v>44431</v>
      </c>
      <c r="B436" s="2" t="str">
        <f t="shared" si="6"/>
        <v>sa-23-8</v>
      </c>
      <c r="C436" t="s">
        <v>330</v>
      </c>
      <c r="D436" t="s">
        <v>62</v>
      </c>
      <c r="E436">
        <v>3</v>
      </c>
      <c r="F436" s="6">
        <f>VLOOKUP(D436,Products!A$2:C$101,3,FALSE)*E436</f>
        <v>96</v>
      </c>
      <c r="G436" t="s">
        <v>407</v>
      </c>
    </row>
    <row r="437" spans="1:7" x14ac:dyDescent="0.25">
      <c r="A437" s="3">
        <v>44388</v>
      </c>
      <c r="B437" s="2" t="str">
        <f t="shared" si="6"/>
        <v>sa-11-7</v>
      </c>
      <c r="C437" t="s">
        <v>353</v>
      </c>
      <c r="D437" t="s">
        <v>49</v>
      </c>
      <c r="E437">
        <v>3</v>
      </c>
      <c r="F437" s="6">
        <f>VLOOKUP(D437,Products!A$2:C$101,3,FALSE)*E437</f>
        <v>99</v>
      </c>
      <c r="G437" t="s">
        <v>401</v>
      </c>
    </row>
    <row r="438" spans="1:7" x14ac:dyDescent="0.25">
      <c r="A438" s="3">
        <v>43887</v>
      </c>
      <c r="B438" s="2" t="str">
        <f t="shared" si="6"/>
        <v>sa-26-2</v>
      </c>
      <c r="C438" t="s">
        <v>320</v>
      </c>
      <c r="D438" t="s">
        <v>82</v>
      </c>
      <c r="E438">
        <v>3</v>
      </c>
      <c r="F438" s="6">
        <f>VLOOKUP(D438,Products!A$2:C$101,3,FALSE)*E438</f>
        <v>96</v>
      </c>
      <c r="G438" t="s">
        <v>396</v>
      </c>
    </row>
    <row r="439" spans="1:7" x14ac:dyDescent="0.25">
      <c r="A439" s="3">
        <v>44372</v>
      </c>
      <c r="B439" s="2" t="str">
        <f t="shared" si="6"/>
        <v>sa-25-6</v>
      </c>
      <c r="C439" t="s">
        <v>315</v>
      </c>
      <c r="D439" t="s">
        <v>53</v>
      </c>
      <c r="E439">
        <v>2</v>
      </c>
      <c r="F439" s="6">
        <f>VLOOKUP(D439,Products!A$2:C$101,3,FALSE)*E439</f>
        <v>64</v>
      </c>
      <c r="G439" t="s">
        <v>404</v>
      </c>
    </row>
    <row r="440" spans="1:7" x14ac:dyDescent="0.25">
      <c r="A440" s="3">
        <v>44449</v>
      </c>
      <c r="B440" s="2" t="str">
        <f t="shared" si="6"/>
        <v>sa-10-9</v>
      </c>
      <c r="C440" t="s">
        <v>330</v>
      </c>
      <c r="D440" t="s">
        <v>44</v>
      </c>
      <c r="E440">
        <v>6</v>
      </c>
      <c r="F440" s="6">
        <f>VLOOKUP(D440,Products!A$2:C$101,3,FALSE)*E440</f>
        <v>186</v>
      </c>
      <c r="G440" t="s">
        <v>402</v>
      </c>
    </row>
    <row r="441" spans="1:7" x14ac:dyDescent="0.25">
      <c r="A441" s="3">
        <v>44496</v>
      </c>
      <c r="B441" s="2" t="str">
        <f t="shared" si="6"/>
        <v>sa-27-10</v>
      </c>
      <c r="C441" t="s">
        <v>342</v>
      </c>
      <c r="D441" t="s">
        <v>5</v>
      </c>
      <c r="E441">
        <v>3</v>
      </c>
      <c r="F441" s="6">
        <f>VLOOKUP(D441,Products!A$2:C$101,3,FALSE)*E441</f>
        <v>240</v>
      </c>
      <c r="G441" t="s">
        <v>406</v>
      </c>
    </row>
    <row r="442" spans="1:7" x14ac:dyDescent="0.25">
      <c r="A442" s="3">
        <v>44044</v>
      </c>
      <c r="B442" s="2" t="str">
        <f t="shared" si="6"/>
        <v>sa-1-8</v>
      </c>
      <c r="C442" t="s">
        <v>350</v>
      </c>
      <c r="D442" t="s">
        <v>99</v>
      </c>
      <c r="E442">
        <v>5</v>
      </c>
      <c r="F442" s="6">
        <f>VLOOKUP(D442,Products!A$2:C$101,3,FALSE)*E442</f>
        <v>75</v>
      </c>
      <c r="G442" t="s">
        <v>403</v>
      </c>
    </row>
    <row r="443" spans="1:7" x14ac:dyDescent="0.25">
      <c r="A443" s="3">
        <v>44725</v>
      </c>
      <c r="B443" s="2" t="str">
        <f t="shared" si="6"/>
        <v>sa-13-6</v>
      </c>
      <c r="C443" t="s">
        <v>323</v>
      </c>
      <c r="D443" t="s">
        <v>89</v>
      </c>
      <c r="E443">
        <v>4</v>
      </c>
      <c r="F443" s="6">
        <f>VLOOKUP(D443,Products!A$2:C$101,3,FALSE)*E443</f>
        <v>80</v>
      </c>
      <c r="G443" t="s">
        <v>401</v>
      </c>
    </row>
    <row r="444" spans="1:7" x14ac:dyDescent="0.25">
      <c r="A444" s="3">
        <v>44636</v>
      </c>
      <c r="B444" s="2" t="str">
        <f t="shared" si="6"/>
        <v>sa-16-3</v>
      </c>
      <c r="C444" t="s">
        <v>333</v>
      </c>
      <c r="D444" t="s">
        <v>23</v>
      </c>
      <c r="E444">
        <v>3</v>
      </c>
      <c r="F444" s="6">
        <f>VLOOKUP(D444,Products!A$2:C$101,3,FALSE)*E444</f>
        <v>93</v>
      </c>
      <c r="G444" t="s">
        <v>401</v>
      </c>
    </row>
    <row r="445" spans="1:7" x14ac:dyDescent="0.25">
      <c r="A445" s="3">
        <v>44285</v>
      </c>
      <c r="B445" s="2" t="str">
        <f t="shared" si="6"/>
        <v>sa-30-3</v>
      </c>
      <c r="C445" t="s">
        <v>352</v>
      </c>
      <c r="D445" t="s">
        <v>20</v>
      </c>
      <c r="E445">
        <v>5</v>
      </c>
      <c r="F445" s="6">
        <f>VLOOKUP(D445,Products!A$2:C$101,3,FALSE)*E445</f>
        <v>165</v>
      </c>
      <c r="G445" t="s">
        <v>403</v>
      </c>
    </row>
    <row r="446" spans="1:7" x14ac:dyDescent="0.25">
      <c r="A446" s="3">
        <v>44609</v>
      </c>
      <c r="B446" s="2" t="str">
        <f t="shared" si="6"/>
        <v>sa-17-2</v>
      </c>
      <c r="C446" t="s">
        <v>318</v>
      </c>
      <c r="D446" t="s">
        <v>71</v>
      </c>
      <c r="E446">
        <v>3</v>
      </c>
      <c r="F446" s="6">
        <f>VLOOKUP(D446,Products!A$2:C$101,3,FALSE)*E446</f>
        <v>102</v>
      </c>
      <c r="G446" t="s">
        <v>396</v>
      </c>
    </row>
    <row r="447" spans="1:7" x14ac:dyDescent="0.25">
      <c r="A447" s="3">
        <v>44282</v>
      </c>
      <c r="B447" s="2" t="str">
        <f t="shared" si="6"/>
        <v>sa-27-3</v>
      </c>
      <c r="C447" t="s">
        <v>312</v>
      </c>
      <c r="D447" t="s">
        <v>22</v>
      </c>
      <c r="E447">
        <v>6</v>
      </c>
      <c r="F447" s="6">
        <f>VLOOKUP(D447,Products!A$2:C$101,3,FALSE)*E447</f>
        <v>204</v>
      </c>
      <c r="G447" t="s">
        <v>407</v>
      </c>
    </row>
    <row r="448" spans="1:7" x14ac:dyDescent="0.25">
      <c r="A448" s="3">
        <v>43979</v>
      </c>
      <c r="B448" s="2" t="str">
        <f t="shared" si="6"/>
        <v>sa-28-5</v>
      </c>
      <c r="C448" t="s">
        <v>332</v>
      </c>
      <c r="D448" t="s">
        <v>75</v>
      </c>
      <c r="E448">
        <v>2</v>
      </c>
      <c r="F448" s="6">
        <f>VLOOKUP(D448,Products!A$2:C$101,3,FALSE)*E448</f>
        <v>68</v>
      </c>
      <c r="G448" t="s">
        <v>398</v>
      </c>
    </row>
    <row r="449" spans="1:7" x14ac:dyDescent="0.25">
      <c r="A449" s="3">
        <v>44046</v>
      </c>
      <c r="B449" s="2" t="str">
        <f t="shared" si="6"/>
        <v>sa-3-8</v>
      </c>
      <c r="C449" t="s">
        <v>342</v>
      </c>
      <c r="D449" t="s">
        <v>60</v>
      </c>
      <c r="E449">
        <v>4</v>
      </c>
      <c r="F449" s="6">
        <f>VLOOKUP(D449,Products!A$2:C$101,3,FALSE)*E449</f>
        <v>120</v>
      </c>
      <c r="G449" t="s">
        <v>404</v>
      </c>
    </row>
    <row r="450" spans="1:7" x14ac:dyDescent="0.25">
      <c r="A450" s="3">
        <v>44382</v>
      </c>
      <c r="B450" s="2" t="str">
        <f t="shared" si="6"/>
        <v>sa-5-7</v>
      </c>
      <c r="C450" t="s">
        <v>343</v>
      </c>
      <c r="D450" t="s">
        <v>74</v>
      </c>
      <c r="E450">
        <v>2</v>
      </c>
      <c r="F450" s="6">
        <f>VLOOKUP(D450,Products!A$2:C$101,3,FALSE)*E450</f>
        <v>68</v>
      </c>
      <c r="G450" t="s">
        <v>404</v>
      </c>
    </row>
    <row r="451" spans="1:7" x14ac:dyDescent="0.25">
      <c r="A451" s="3">
        <v>44219</v>
      </c>
      <c r="B451" s="2" t="str">
        <f t="shared" ref="B451:B514" si="7">"sa-"&amp;DAY(A451)&amp;"-"&amp;MONTH(A451)</f>
        <v>sa-23-1</v>
      </c>
      <c r="C451" t="s">
        <v>354</v>
      </c>
      <c r="D451" t="s">
        <v>6</v>
      </c>
      <c r="E451">
        <v>4</v>
      </c>
      <c r="F451" s="6">
        <f>VLOOKUP(D451,Products!A$2:C$101,3,FALSE)*E451</f>
        <v>276</v>
      </c>
      <c r="G451" t="s">
        <v>404</v>
      </c>
    </row>
    <row r="452" spans="1:7" x14ac:dyDescent="0.25">
      <c r="A452" s="3">
        <v>43843</v>
      </c>
      <c r="B452" s="2" t="str">
        <f t="shared" si="7"/>
        <v>sa-13-1</v>
      </c>
      <c r="C452" t="s">
        <v>331</v>
      </c>
      <c r="D452" t="s">
        <v>10</v>
      </c>
      <c r="E452">
        <v>6</v>
      </c>
      <c r="F452" s="6">
        <f>VLOOKUP(D452,Products!A$2:C$101,3,FALSE)*E452</f>
        <v>432</v>
      </c>
      <c r="G452" t="s">
        <v>408</v>
      </c>
    </row>
    <row r="453" spans="1:7" x14ac:dyDescent="0.25">
      <c r="A453" s="3">
        <v>44033</v>
      </c>
      <c r="B453" s="2" t="str">
        <f t="shared" si="7"/>
        <v>sa-21-7</v>
      </c>
      <c r="C453" t="s">
        <v>329</v>
      </c>
      <c r="D453" t="s">
        <v>52</v>
      </c>
      <c r="E453">
        <v>3</v>
      </c>
      <c r="F453" s="6">
        <f>VLOOKUP(D453,Products!A$2:C$101,3,FALSE)*E453</f>
        <v>99</v>
      </c>
      <c r="G453" t="s">
        <v>399</v>
      </c>
    </row>
    <row r="454" spans="1:7" x14ac:dyDescent="0.25">
      <c r="A454" s="3">
        <v>44387</v>
      </c>
      <c r="B454" s="2" t="str">
        <f t="shared" si="7"/>
        <v>sa-10-7</v>
      </c>
      <c r="C454" t="s">
        <v>342</v>
      </c>
      <c r="D454" t="s">
        <v>56</v>
      </c>
      <c r="E454">
        <v>2</v>
      </c>
      <c r="F454" s="6">
        <f>VLOOKUP(D454,Products!A$2:C$101,3,FALSE)*E454</f>
        <v>60</v>
      </c>
      <c r="G454" t="s">
        <v>403</v>
      </c>
    </row>
    <row r="455" spans="1:7" x14ac:dyDescent="0.25">
      <c r="A455" s="3">
        <v>44267</v>
      </c>
      <c r="B455" s="2" t="str">
        <f t="shared" si="7"/>
        <v>sa-12-3</v>
      </c>
      <c r="C455" t="s">
        <v>325</v>
      </c>
      <c r="D455" t="s">
        <v>17</v>
      </c>
      <c r="E455">
        <v>2</v>
      </c>
      <c r="F455" s="6">
        <f>VLOOKUP(D455,Products!A$2:C$101,3,FALSE)*E455</f>
        <v>64</v>
      </c>
      <c r="G455" t="s">
        <v>398</v>
      </c>
    </row>
    <row r="456" spans="1:7" x14ac:dyDescent="0.25">
      <c r="A456" s="3">
        <v>44630</v>
      </c>
      <c r="B456" s="2" t="str">
        <f t="shared" si="7"/>
        <v>sa-10-3</v>
      </c>
      <c r="C456" t="s">
        <v>335</v>
      </c>
      <c r="D456" t="s">
        <v>101</v>
      </c>
      <c r="E456">
        <v>6</v>
      </c>
      <c r="F456" s="6">
        <f>VLOOKUP(D456,Products!A$2:C$101,3,FALSE)*E456</f>
        <v>60</v>
      </c>
      <c r="G456" t="s">
        <v>401</v>
      </c>
    </row>
    <row r="457" spans="1:7" x14ac:dyDescent="0.25">
      <c r="A457" s="3">
        <v>43930</v>
      </c>
      <c r="B457" s="2" t="str">
        <f t="shared" si="7"/>
        <v>sa-9-4</v>
      </c>
      <c r="C457" t="s">
        <v>347</v>
      </c>
      <c r="D457" t="s">
        <v>21</v>
      </c>
      <c r="E457">
        <v>4</v>
      </c>
      <c r="F457" s="6">
        <f>VLOOKUP(D457,Products!A$2:C$101,3,FALSE)*E457</f>
        <v>132</v>
      </c>
      <c r="G457" t="s">
        <v>401</v>
      </c>
    </row>
    <row r="458" spans="1:7" x14ac:dyDescent="0.25">
      <c r="A458" s="3">
        <v>44694</v>
      </c>
      <c r="B458" s="2" t="str">
        <f t="shared" si="7"/>
        <v>sa-13-5</v>
      </c>
      <c r="C458" t="s">
        <v>310</v>
      </c>
      <c r="D458" t="s">
        <v>2</v>
      </c>
      <c r="E458">
        <v>4</v>
      </c>
      <c r="F458" s="6">
        <f>VLOOKUP(D458,Products!A$2:C$101,3,FALSE)*E458</f>
        <v>264</v>
      </c>
      <c r="G458" t="s">
        <v>400</v>
      </c>
    </row>
    <row r="459" spans="1:7" x14ac:dyDescent="0.25">
      <c r="A459" s="3">
        <v>44619</v>
      </c>
      <c r="B459" s="2" t="str">
        <f t="shared" si="7"/>
        <v>sa-27-2</v>
      </c>
      <c r="C459" t="s">
        <v>349</v>
      </c>
      <c r="D459" t="s">
        <v>93</v>
      </c>
      <c r="E459">
        <v>6</v>
      </c>
      <c r="F459" s="6">
        <f>VLOOKUP(D459,Products!A$2:C$101,3,FALSE)*E459</f>
        <v>102</v>
      </c>
      <c r="G459" t="s">
        <v>402</v>
      </c>
    </row>
    <row r="460" spans="1:7" x14ac:dyDescent="0.25">
      <c r="A460" s="3">
        <v>44273</v>
      </c>
      <c r="B460" s="2" t="str">
        <f t="shared" si="7"/>
        <v>sa-18-3</v>
      </c>
      <c r="C460" t="s">
        <v>319</v>
      </c>
      <c r="D460" t="s">
        <v>22</v>
      </c>
      <c r="E460">
        <v>2</v>
      </c>
      <c r="F460" s="6">
        <f>VLOOKUP(D460,Products!A$2:C$101,3,FALSE)*E460</f>
        <v>68</v>
      </c>
      <c r="G460" t="s">
        <v>405</v>
      </c>
    </row>
    <row r="461" spans="1:7" x14ac:dyDescent="0.25">
      <c r="A461" s="3">
        <v>44046</v>
      </c>
      <c r="B461" s="2" t="str">
        <f t="shared" si="7"/>
        <v>sa-3-8</v>
      </c>
      <c r="C461" t="s">
        <v>332</v>
      </c>
      <c r="D461" t="s">
        <v>45</v>
      </c>
      <c r="E461">
        <v>3</v>
      </c>
      <c r="F461" s="6">
        <f>VLOOKUP(D461,Products!A$2:C$101,3,FALSE)*E461</f>
        <v>90</v>
      </c>
      <c r="G461" t="s">
        <v>401</v>
      </c>
    </row>
    <row r="462" spans="1:7" x14ac:dyDescent="0.25">
      <c r="A462" s="3">
        <v>44230</v>
      </c>
      <c r="B462" s="2" t="str">
        <f t="shared" si="7"/>
        <v>sa-3-2</v>
      </c>
      <c r="C462" t="s">
        <v>349</v>
      </c>
      <c r="D462" t="s">
        <v>47</v>
      </c>
      <c r="E462">
        <v>2</v>
      </c>
      <c r="F462" s="6">
        <f>VLOOKUP(D462,Products!A$2:C$101,3,FALSE)*E462</f>
        <v>64</v>
      </c>
      <c r="G462" t="s">
        <v>396</v>
      </c>
    </row>
    <row r="463" spans="1:7" x14ac:dyDescent="0.25">
      <c r="A463" s="3">
        <v>44678</v>
      </c>
      <c r="B463" s="2" t="str">
        <f t="shared" si="7"/>
        <v>sa-27-4</v>
      </c>
      <c r="C463" t="s">
        <v>342</v>
      </c>
      <c r="D463" t="s">
        <v>43</v>
      </c>
      <c r="E463">
        <v>4</v>
      </c>
      <c r="F463" s="6">
        <f>VLOOKUP(D463,Products!A$2:C$101,3,FALSE)*E463</f>
        <v>132</v>
      </c>
      <c r="G463" t="s">
        <v>395</v>
      </c>
    </row>
    <row r="464" spans="1:7" x14ac:dyDescent="0.25">
      <c r="A464" s="3">
        <v>44102</v>
      </c>
      <c r="B464" s="2" t="str">
        <f t="shared" si="7"/>
        <v>sa-28-9</v>
      </c>
      <c r="C464" t="s">
        <v>350</v>
      </c>
      <c r="D464" t="s">
        <v>20</v>
      </c>
      <c r="E464">
        <v>5</v>
      </c>
      <c r="F464" s="6">
        <f>VLOOKUP(D464,Products!A$2:C$101,3,FALSE)*E464</f>
        <v>165</v>
      </c>
      <c r="G464" t="s">
        <v>406</v>
      </c>
    </row>
    <row r="465" spans="1:7" x14ac:dyDescent="0.25">
      <c r="A465" s="3">
        <v>44008</v>
      </c>
      <c r="B465" s="2" t="str">
        <f t="shared" si="7"/>
        <v>sa-26-6</v>
      </c>
      <c r="C465" t="s">
        <v>353</v>
      </c>
      <c r="D465" t="s">
        <v>23</v>
      </c>
      <c r="E465">
        <v>6</v>
      </c>
      <c r="F465" s="6">
        <f>VLOOKUP(D465,Products!A$2:C$101,3,FALSE)*E465</f>
        <v>186</v>
      </c>
      <c r="G465" t="s">
        <v>396</v>
      </c>
    </row>
    <row r="466" spans="1:7" x14ac:dyDescent="0.25">
      <c r="A466" s="3">
        <v>44531</v>
      </c>
      <c r="B466" s="2" t="str">
        <f t="shared" si="7"/>
        <v>sa-1-12</v>
      </c>
      <c r="C466" t="s">
        <v>345</v>
      </c>
      <c r="D466" t="s">
        <v>68</v>
      </c>
      <c r="E466">
        <v>3</v>
      </c>
      <c r="F466" s="6">
        <f>VLOOKUP(D466,Products!A$2:C$101,3,FALSE)*E466</f>
        <v>96</v>
      </c>
      <c r="G466" t="s">
        <v>396</v>
      </c>
    </row>
    <row r="467" spans="1:7" x14ac:dyDescent="0.25">
      <c r="A467" s="3">
        <v>44533</v>
      </c>
      <c r="B467" s="2" t="str">
        <f t="shared" si="7"/>
        <v>sa-3-12</v>
      </c>
      <c r="C467" t="s">
        <v>355</v>
      </c>
      <c r="D467" t="s">
        <v>73</v>
      </c>
      <c r="E467">
        <v>6</v>
      </c>
      <c r="F467" s="6">
        <f>VLOOKUP(D467,Products!A$2:C$101,3,FALSE)*E467</f>
        <v>210</v>
      </c>
      <c r="G467" t="s">
        <v>397</v>
      </c>
    </row>
    <row r="468" spans="1:7" x14ac:dyDescent="0.25">
      <c r="A468" s="3">
        <v>44668</v>
      </c>
      <c r="B468" s="2" t="str">
        <f t="shared" si="7"/>
        <v>sa-17-4</v>
      </c>
      <c r="C468" t="s">
        <v>318</v>
      </c>
      <c r="D468" t="s">
        <v>92</v>
      </c>
      <c r="E468">
        <v>2</v>
      </c>
      <c r="F468" s="6">
        <f>VLOOKUP(D468,Products!A$2:C$101,3,FALSE)*E468</f>
        <v>28</v>
      </c>
      <c r="G468" t="s">
        <v>399</v>
      </c>
    </row>
    <row r="469" spans="1:7" x14ac:dyDescent="0.25">
      <c r="A469" s="3">
        <v>43896</v>
      </c>
      <c r="B469" s="2" t="str">
        <f t="shared" si="7"/>
        <v>sa-6-3</v>
      </c>
      <c r="C469" t="s">
        <v>327</v>
      </c>
      <c r="D469" t="s">
        <v>74</v>
      </c>
      <c r="E469">
        <v>6</v>
      </c>
      <c r="F469" s="6">
        <f>VLOOKUP(D469,Products!A$2:C$101,3,FALSE)*E469</f>
        <v>204</v>
      </c>
      <c r="G469" t="s">
        <v>399</v>
      </c>
    </row>
    <row r="470" spans="1:7" x14ac:dyDescent="0.25">
      <c r="A470" s="3">
        <v>44655</v>
      </c>
      <c r="B470" s="2" t="str">
        <f t="shared" si="7"/>
        <v>sa-4-4</v>
      </c>
      <c r="C470" t="s">
        <v>355</v>
      </c>
      <c r="D470" t="s">
        <v>16</v>
      </c>
      <c r="E470">
        <v>2</v>
      </c>
      <c r="F470" s="6">
        <f>VLOOKUP(D470,Products!A$2:C$101,3,FALSE)*E470</f>
        <v>60</v>
      </c>
      <c r="G470" t="s">
        <v>395</v>
      </c>
    </row>
    <row r="471" spans="1:7" x14ac:dyDescent="0.25">
      <c r="A471" s="3">
        <v>44727</v>
      </c>
      <c r="B471" s="2" t="str">
        <f t="shared" si="7"/>
        <v>sa-15-6</v>
      </c>
      <c r="C471" t="s">
        <v>340</v>
      </c>
      <c r="D471" t="s">
        <v>13</v>
      </c>
      <c r="E471">
        <v>6</v>
      </c>
      <c r="F471" s="6">
        <f>VLOOKUP(D471,Products!A$2:C$101,3,FALSE)*E471</f>
        <v>426</v>
      </c>
      <c r="G471" t="s">
        <v>399</v>
      </c>
    </row>
    <row r="472" spans="1:7" x14ac:dyDescent="0.25">
      <c r="A472" s="3">
        <v>43894</v>
      </c>
      <c r="B472" s="2" t="str">
        <f t="shared" si="7"/>
        <v>sa-4-3</v>
      </c>
      <c r="C472" t="s">
        <v>327</v>
      </c>
      <c r="D472" t="s">
        <v>88</v>
      </c>
      <c r="E472">
        <v>4</v>
      </c>
      <c r="F472" s="6">
        <f>VLOOKUP(D472,Products!A$2:C$101,3,FALSE)*E472</f>
        <v>68</v>
      </c>
      <c r="G472" t="s">
        <v>401</v>
      </c>
    </row>
    <row r="473" spans="1:7" x14ac:dyDescent="0.25">
      <c r="A473" s="3">
        <v>44452</v>
      </c>
      <c r="B473" s="2" t="str">
        <f t="shared" si="7"/>
        <v>sa-13-9</v>
      </c>
      <c r="C473" t="s">
        <v>321</v>
      </c>
      <c r="D473" t="s">
        <v>63</v>
      </c>
      <c r="E473">
        <v>3</v>
      </c>
      <c r="F473" s="6">
        <f>VLOOKUP(D473,Products!A$2:C$101,3,FALSE)*E473</f>
        <v>99</v>
      </c>
      <c r="G473" t="s">
        <v>395</v>
      </c>
    </row>
    <row r="474" spans="1:7" x14ac:dyDescent="0.25">
      <c r="A474" s="3">
        <v>44160</v>
      </c>
      <c r="B474" s="2" t="str">
        <f t="shared" si="7"/>
        <v>sa-25-11</v>
      </c>
      <c r="C474" t="s">
        <v>354</v>
      </c>
      <c r="D474" t="s">
        <v>36</v>
      </c>
      <c r="E474">
        <v>4</v>
      </c>
      <c r="F474" s="6">
        <f>VLOOKUP(D474,Products!A$2:C$101,3,FALSE)*E474</f>
        <v>136</v>
      </c>
      <c r="G474" t="s">
        <v>401</v>
      </c>
    </row>
    <row r="475" spans="1:7" x14ac:dyDescent="0.25">
      <c r="A475" s="3">
        <v>43990</v>
      </c>
      <c r="B475" s="2" t="str">
        <f t="shared" si="7"/>
        <v>sa-8-6</v>
      </c>
      <c r="C475" t="s">
        <v>308</v>
      </c>
      <c r="D475" t="s">
        <v>92</v>
      </c>
      <c r="E475">
        <v>2</v>
      </c>
      <c r="F475" s="6">
        <f>VLOOKUP(D475,Products!A$2:C$101,3,FALSE)*E475</f>
        <v>28</v>
      </c>
      <c r="G475" t="s">
        <v>400</v>
      </c>
    </row>
    <row r="476" spans="1:7" x14ac:dyDescent="0.25">
      <c r="A476" s="3">
        <v>44028</v>
      </c>
      <c r="B476" s="2" t="str">
        <f t="shared" si="7"/>
        <v>sa-16-7</v>
      </c>
      <c r="C476" t="s">
        <v>355</v>
      </c>
      <c r="D476" t="s">
        <v>53</v>
      </c>
      <c r="E476">
        <v>4</v>
      </c>
      <c r="F476" s="6">
        <f>VLOOKUP(D476,Products!A$2:C$101,3,FALSE)*E476</f>
        <v>128</v>
      </c>
      <c r="G476" t="s">
        <v>407</v>
      </c>
    </row>
    <row r="477" spans="1:7" x14ac:dyDescent="0.25">
      <c r="A477" s="3">
        <v>44137</v>
      </c>
      <c r="B477" s="2" t="str">
        <f t="shared" si="7"/>
        <v>sa-2-11</v>
      </c>
      <c r="C477" t="s">
        <v>319</v>
      </c>
      <c r="D477" t="s">
        <v>14</v>
      </c>
      <c r="E477">
        <v>5</v>
      </c>
      <c r="F477" s="6">
        <f>VLOOKUP(D477,Products!A$2:C$101,3,FALSE)*E477</f>
        <v>395</v>
      </c>
      <c r="G477" t="s">
        <v>395</v>
      </c>
    </row>
    <row r="478" spans="1:7" x14ac:dyDescent="0.25">
      <c r="A478" s="3">
        <v>43858</v>
      </c>
      <c r="B478" s="2" t="str">
        <f t="shared" si="7"/>
        <v>sa-28-1</v>
      </c>
      <c r="C478" t="s">
        <v>339</v>
      </c>
      <c r="D478" t="s">
        <v>101</v>
      </c>
      <c r="E478">
        <v>3</v>
      </c>
      <c r="F478" s="6">
        <f>VLOOKUP(D478,Products!A$2:C$101,3,FALSE)*E478</f>
        <v>30</v>
      </c>
      <c r="G478" t="s">
        <v>401</v>
      </c>
    </row>
    <row r="479" spans="1:7" x14ac:dyDescent="0.25">
      <c r="A479" s="3">
        <v>44615</v>
      </c>
      <c r="B479" s="2" t="str">
        <f t="shared" si="7"/>
        <v>sa-23-2</v>
      </c>
      <c r="C479" t="s">
        <v>352</v>
      </c>
      <c r="D479" t="s">
        <v>57</v>
      </c>
      <c r="E479">
        <v>6</v>
      </c>
      <c r="F479" s="6">
        <f>VLOOKUP(D479,Products!A$2:C$101,3,FALSE)*E479</f>
        <v>210</v>
      </c>
      <c r="G479" t="s">
        <v>406</v>
      </c>
    </row>
    <row r="480" spans="1:7" x14ac:dyDescent="0.25">
      <c r="A480" s="3">
        <v>44500</v>
      </c>
      <c r="B480" s="2" t="str">
        <f t="shared" si="7"/>
        <v>sa-31-10</v>
      </c>
      <c r="C480" t="s">
        <v>319</v>
      </c>
      <c r="D480" t="s">
        <v>46</v>
      </c>
      <c r="E480">
        <v>4</v>
      </c>
      <c r="F480" s="6">
        <f>VLOOKUP(D480,Products!A$2:C$101,3,FALSE)*E480</f>
        <v>120</v>
      </c>
      <c r="G480" t="s">
        <v>395</v>
      </c>
    </row>
    <row r="481" spans="1:7" x14ac:dyDescent="0.25">
      <c r="A481" s="3">
        <v>44616</v>
      </c>
      <c r="B481" s="2" t="str">
        <f t="shared" si="7"/>
        <v>sa-24-2</v>
      </c>
      <c r="C481" t="s">
        <v>336</v>
      </c>
      <c r="D481" t="s">
        <v>51</v>
      </c>
      <c r="E481">
        <v>2</v>
      </c>
      <c r="F481" s="6">
        <f>VLOOKUP(D481,Products!A$2:C$101,3,FALSE)*E481</f>
        <v>62</v>
      </c>
      <c r="G481" t="s">
        <v>397</v>
      </c>
    </row>
    <row r="482" spans="1:7" x14ac:dyDescent="0.25">
      <c r="A482" s="3">
        <v>44146</v>
      </c>
      <c r="B482" s="2" t="str">
        <f t="shared" si="7"/>
        <v>sa-11-11</v>
      </c>
      <c r="C482" t="s">
        <v>344</v>
      </c>
      <c r="D482" t="s">
        <v>89</v>
      </c>
      <c r="E482">
        <v>5</v>
      </c>
      <c r="F482" s="6">
        <f>VLOOKUP(D482,Products!A$2:C$101,3,FALSE)*E482</f>
        <v>100</v>
      </c>
      <c r="G482" t="s">
        <v>408</v>
      </c>
    </row>
    <row r="483" spans="1:7" x14ac:dyDescent="0.25">
      <c r="A483" s="3">
        <v>44509</v>
      </c>
      <c r="B483" s="2" t="str">
        <f t="shared" si="7"/>
        <v>sa-9-11</v>
      </c>
      <c r="C483" t="s">
        <v>352</v>
      </c>
      <c r="D483" t="s">
        <v>58</v>
      </c>
      <c r="E483">
        <v>6</v>
      </c>
      <c r="F483" s="6">
        <f>VLOOKUP(D483,Products!A$2:C$101,3,FALSE)*E483</f>
        <v>210</v>
      </c>
      <c r="G483" t="s">
        <v>399</v>
      </c>
    </row>
    <row r="484" spans="1:7" x14ac:dyDescent="0.25">
      <c r="A484" s="3">
        <v>44721</v>
      </c>
      <c r="B484" s="2" t="str">
        <f t="shared" si="7"/>
        <v>sa-9-6</v>
      </c>
      <c r="C484" t="s">
        <v>351</v>
      </c>
      <c r="D484" t="s">
        <v>4</v>
      </c>
      <c r="E484">
        <v>5</v>
      </c>
      <c r="F484" s="6">
        <f>VLOOKUP(D484,Products!A$2:C$101,3,FALSE)*E484</f>
        <v>355</v>
      </c>
      <c r="G484" t="s">
        <v>397</v>
      </c>
    </row>
    <row r="485" spans="1:7" x14ac:dyDescent="0.25">
      <c r="A485" s="3">
        <v>43962</v>
      </c>
      <c r="B485" s="2" t="str">
        <f t="shared" si="7"/>
        <v>sa-11-5</v>
      </c>
      <c r="C485" t="s">
        <v>322</v>
      </c>
      <c r="D485" t="s">
        <v>66</v>
      </c>
      <c r="E485">
        <v>4</v>
      </c>
      <c r="F485" s="6">
        <f>VLOOKUP(D485,Products!A$2:C$101,3,FALSE)*E485</f>
        <v>120</v>
      </c>
      <c r="G485" t="s">
        <v>403</v>
      </c>
    </row>
    <row r="486" spans="1:7" x14ac:dyDescent="0.25">
      <c r="A486" s="3">
        <v>44274</v>
      </c>
      <c r="B486" s="2" t="str">
        <f t="shared" si="7"/>
        <v>sa-19-3</v>
      </c>
      <c r="C486" t="s">
        <v>337</v>
      </c>
      <c r="D486" t="s">
        <v>23</v>
      </c>
      <c r="E486">
        <v>3</v>
      </c>
      <c r="F486" s="6">
        <f>VLOOKUP(D486,Products!A$2:C$101,3,FALSE)*E486</f>
        <v>93</v>
      </c>
      <c r="G486" t="s">
        <v>406</v>
      </c>
    </row>
    <row r="487" spans="1:7" x14ac:dyDescent="0.25">
      <c r="A487" s="3">
        <v>44661</v>
      </c>
      <c r="B487" s="2" t="str">
        <f t="shared" si="7"/>
        <v>sa-10-4</v>
      </c>
      <c r="C487" t="s">
        <v>312</v>
      </c>
      <c r="D487" t="s">
        <v>7</v>
      </c>
      <c r="E487">
        <v>4</v>
      </c>
      <c r="F487" s="6">
        <f>VLOOKUP(D487,Products!A$2:C$101,3,FALSE)*E487</f>
        <v>296</v>
      </c>
      <c r="G487" t="s">
        <v>404</v>
      </c>
    </row>
    <row r="488" spans="1:7" x14ac:dyDescent="0.25">
      <c r="A488" s="3">
        <v>44349</v>
      </c>
      <c r="B488" s="2" t="str">
        <f t="shared" si="7"/>
        <v>sa-2-6</v>
      </c>
      <c r="C488" t="s">
        <v>307</v>
      </c>
      <c r="D488" t="s">
        <v>52</v>
      </c>
      <c r="E488">
        <v>3</v>
      </c>
      <c r="F488" s="6">
        <f>VLOOKUP(D488,Products!A$2:C$101,3,FALSE)*E488</f>
        <v>99</v>
      </c>
      <c r="G488" t="s">
        <v>397</v>
      </c>
    </row>
    <row r="489" spans="1:7" x14ac:dyDescent="0.25">
      <c r="A489" s="3">
        <v>44421</v>
      </c>
      <c r="B489" s="2" t="str">
        <f t="shared" si="7"/>
        <v>sa-13-8</v>
      </c>
      <c r="C489" t="s">
        <v>316</v>
      </c>
      <c r="D489" t="s">
        <v>50</v>
      </c>
      <c r="E489">
        <v>5</v>
      </c>
      <c r="F489" s="6">
        <f>VLOOKUP(D489,Products!A$2:C$101,3,FALSE)*E489</f>
        <v>160</v>
      </c>
      <c r="G489" t="s">
        <v>400</v>
      </c>
    </row>
    <row r="490" spans="1:7" x14ac:dyDescent="0.25">
      <c r="A490" s="3">
        <v>44664</v>
      </c>
      <c r="B490" s="2" t="str">
        <f t="shared" si="7"/>
        <v>sa-13-4</v>
      </c>
      <c r="C490" t="s">
        <v>314</v>
      </c>
      <c r="D490" t="s">
        <v>60</v>
      </c>
      <c r="E490">
        <v>4</v>
      </c>
      <c r="F490" s="6">
        <f>VLOOKUP(D490,Products!A$2:C$101,3,FALSE)*E490</f>
        <v>120</v>
      </c>
      <c r="G490" t="s">
        <v>398</v>
      </c>
    </row>
    <row r="491" spans="1:7" x14ac:dyDescent="0.25">
      <c r="A491" s="3">
        <v>44183</v>
      </c>
      <c r="B491" s="2" t="str">
        <f t="shared" si="7"/>
        <v>sa-18-12</v>
      </c>
      <c r="C491" t="s">
        <v>315</v>
      </c>
      <c r="D491" t="s">
        <v>10</v>
      </c>
      <c r="E491">
        <v>2</v>
      </c>
      <c r="F491" s="6">
        <f>VLOOKUP(D491,Products!A$2:C$101,3,FALSE)*E491</f>
        <v>144</v>
      </c>
      <c r="G491" t="s">
        <v>406</v>
      </c>
    </row>
    <row r="492" spans="1:7" x14ac:dyDescent="0.25">
      <c r="A492" s="3">
        <v>44086</v>
      </c>
      <c r="B492" s="2" t="str">
        <f t="shared" si="7"/>
        <v>sa-12-9</v>
      </c>
      <c r="C492" t="s">
        <v>345</v>
      </c>
      <c r="D492" t="s">
        <v>88</v>
      </c>
      <c r="E492">
        <v>6</v>
      </c>
      <c r="F492" s="6">
        <f>VLOOKUP(D492,Products!A$2:C$101,3,FALSE)*E492</f>
        <v>102</v>
      </c>
      <c r="G492" t="s">
        <v>405</v>
      </c>
    </row>
    <row r="493" spans="1:7" x14ac:dyDescent="0.25">
      <c r="A493" s="3">
        <v>44250</v>
      </c>
      <c r="B493" s="2" t="str">
        <f t="shared" si="7"/>
        <v>sa-23-2</v>
      </c>
      <c r="C493" t="s">
        <v>336</v>
      </c>
      <c r="D493" t="s">
        <v>100</v>
      </c>
      <c r="E493">
        <v>5</v>
      </c>
      <c r="F493" s="6">
        <f>VLOOKUP(D493,Products!A$2:C$101,3,FALSE)*E493</f>
        <v>75</v>
      </c>
      <c r="G493" t="s">
        <v>400</v>
      </c>
    </row>
    <row r="494" spans="1:7" x14ac:dyDescent="0.25">
      <c r="A494" s="3">
        <v>44189</v>
      </c>
      <c r="B494" s="2" t="str">
        <f t="shared" si="7"/>
        <v>sa-24-12</v>
      </c>
      <c r="C494" t="s">
        <v>327</v>
      </c>
      <c r="D494" t="s">
        <v>57</v>
      </c>
      <c r="E494">
        <v>5</v>
      </c>
      <c r="F494" s="6">
        <f>VLOOKUP(D494,Products!A$2:C$101,3,FALSE)*E494</f>
        <v>175</v>
      </c>
      <c r="G494" t="s">
        <v>399</v>
      </c>
    </row>
    <row r="495" spans="1:7" x14ac:dyDescent="0.25">
      <c r="A495" s="3">
        <v>43956</v>
      </c>
      <c r="B495" s="2" t="str">
        <f t="shared" si="7"/>
        <v>sa-5-5</v>
      </c>
      <c r="C495" t="s">
        <v>353</v>
      </c>
      <c r="D495" t="s">
        <v>80</v>
      </c>
      <c r="E495">
        <v>3</v>
      </c>
      <c r="F495" s="6">
        <f>VLOOKUP(D495,Products!A$2:C$101,3,FALSE)*E495</f>
        <v>93</v>
      </c>
      <c r="G495" t="s">
        <v>396</v>
      </c>
    </row>
    <row r="496" spans="1:7" x14ac:dyDescent="0.25">
      <c r="A496" s="3">
        <v>44296</v>
      </c>
      <c r="B496" s="2" t="str">
        <f t="shared" si="7"/>
        <v>sa-10-4</v>
      </c>
      <c r="C496" t="s">
        <v>328</v>
      </c>
      <c r="D496" t="s">
        <v>93</v>
      </c>
      <c r="E496">
        <v>6</v>
      </c>
      <c r="F496" s="6">
        <f>VLOOKUP(D496,Products!A$2:C$101,3,FALSE)*E496</f>
        <v>102</v>
      </c>
      <c r="G496" t="s">
        <v>402</v>
      </c>
    </row>
    <row r="497" spans="1:7" x14ac:dyDescent="0.25">
      <c r="A497" s="3">
        <v>44366</v>
      </c>
      <c r="B497" s="2" t="str">
        <f t="shared" si="7"/>
        <v>sa-19-6</v>
      </c>
      <c r="C497" t="s">
        <v>346</v>
      </c>
      <c r="D497" t="s">
        <v>100</v>
      </c>
      <c r="E497">
        <v>6</v>
      </c>
      <c r="F497" s="6">
        <f>VLOOKUP(D497,Products!A$2:C$101,3,FALSE)*E497</f>
        <v>90</v>
      </c>
      <c r="G497" t="s">
        <v>406</v>
      </c>
    </row>
    <row r="498" spans="1:7" x14ac:dyDescent="0.25">
      <c r="A498" s="3">
        <v>44137</v>
      </c>
      <c r="B498" s="2" t="str">
        <f t="shared" si="7"/>
        <v>sa-2-11</v>
      </c>
      <c r="C498" t="s">
        <v>335</v>
      </c>
      <c r="D498" t="s">
        <v>48</v>
      </c>
      <c r="E498">
        <v>4</v>
      </c>
      <c r="F498" s="6">
        <f>VLOOKUP(D498,Products!A$2:C$101,3,FALSE)*E498</f>
        <v>132</v>
      </c>
      <c r="G498" t="s">
        <v>402</v>
      </c>
    </row>
    <row r="499" spans="1:7" x14ac:dyDescent="0.25">
      <c r="A499" s="3">
        <v>44626</v>
      </c>
      <c r="B499" s="2" t="str">
        <f t="shared" si="7"/>
        <v>sa-6-3</v>
      </c>
      <c r="C499" t="s">
        <v>320</v>
      </c>
      <c r="D499" t="s">
        <v>51</v>
      </c>
      <c r="E499">
        <v>6</v>
      </c>
      <c r="F499" s="6">
        <f>VLOOKUP(D499,Products!A$2:C$101,3,FALSE)*E499</f>
        <v>186</v>
      </c>
      <c r="G499" t="s">
        <v>401</v>
      </c>
    </row>
    <row r="500" spans="1:7" x14ac:dyDescent="0.25">
      <c r="A500" s="3">
        <v>44366</v>
      </c>
      <c r="B500" s="2" t="str">
        <f t="shared" si="7"/>
        <v>sa-19-6</v>
      </c>
      <c r="C500" t="s">
        <v>349</v>
      </c>
      <c r="D500" t="s">
        <v>67</v>
      </c>
      <c r="E500">
        <v>6</v>
      </c>
      <c r="F500" s="6">
        <f>VLOOKUP(D500,Products!A$2:C$101,3,FALSE)*E500</f>
        <v>192</v>
      </c>
      <c r="G500" t="s">
        <v>400</v>
      </c>
    </row>
    <row r="501" spans="1:7" x14ac:dyDescent="0.25">
      <c r="A501" s="3">
        <v>44180</v>
      </c>
      <c r="B501" s="2" t="str">
        <f t="shared" si="7"/>
        <v>sa-15-12</v>
      </c>
      <c r="C501" t="s">
        <v>320</v>
      </c>
      <c r="D501" t="s">
        <v>89</v>
      </c>
      <c r="E501">
        <v>2</v>
      </c>
      <c r="F501" s="6">
        <f>VLOOKUP(D501,Products!A$2:C$101,3,FALSE)*E501</f>
        <v>40</v>
      </c>
      <c r="G501" t="s">
        <v>395</v>
      </c>
    </row>
    <row r="502" spans="1:7" x14ac:dyDescent="0.25">
      <c r="A502" s="3">
        <v>44162</v>
      </c>
      <c r="B502" s="2" t="str">
        <f t="shared" si="7"/>
        <v>sa-27-11</v>
      </c>
      <c r="C502" t="s">
        <v>339</v>
      </c>
      <c r="D502" t="s">
        <v>47</v>
      </c>
      <c r="E502">
        <v>5</v>
      </c>
      <c r="F502" s="6">
        <f>VLOOKUP(D502,Products!A$2:C$101,3,FALSE)*E502</f>
        <v>160</v>
      </c>
      <c r="G502" t="s">
        <v>395</v>
      </c>
    </row>
    <row r="503" spans="1:7" x14ac:dyDescent="0.25">
      <c r="A503" s="3">
        <v>43982</v>
      </c>
      <c r="B503" s="2" t="str">
        <f t="shared" si="7"/>
        <v>sa-31-5</v>
      </c>
      <c r="C503" t="s">
        <v>326</v>
      </c>
      <c r="D503" t="s">
        <v>73</v>
      </c>
      <c r="E503">
        <v>3</v>
      </c>
      <c r="F503" s="6">
        <f>VLOOKUP(D503,Products!A$2:C$101,3,FALSE)*E503</f>
        <v>105</v>
      </c>
      <c r="G503" t="s">
        <v>407</v>
      </c>
    </row>
    <row r="504" spans="1:7" x14ac:dyDescent="0.25">
      <c r="A504" s="3">
        <v>44426</v>
      </c>
      <c r="B504" s="2" t="str">
        <f t="shared" si="7"/>
        <v>sa-18-8</v>
      </c>
      <c r="C504" t="s">
        <v>350</v>
      </c>
      <c r="D504" t="s">
        <v>14</v>
      </c>
      <c r="E504">
        <v>4</v>
      </c>
      <c r="F504" s="6">
        <f>VLOOKUP(D504,Products!A$2:C$101,3,FALSE)*E504</f>
        <v>316</v>
      </c>
      <c r="G504" t="s">
        <v>401</v>
      </c>
    </row>
    <row r="505" spans="1:7" x14ac:dyDescent="0.25">
      <c r="A505" s="3">
        <v>44485</v>
      </c>
      <c r="B505" s="2" t="str">
        <f t="shared" si="7"/>
        <v>sa-16-10</v>
      </c>
      <c r="C505" t="s">
        <v>330</v>
      </c>
      <c r="D505" t="s">
        <v>98</v>
      </c>
      <c r="E505">
        <v>5</v>
      </c>
      <c r="F505" s="6">
        <f>VLOOKUP(D505,Products!A$2:C$101,3,FALSE)*E505</f>
        <v>95</v>
      </c>
      <c r="G505" t="s">
        <v>400</v>
      </c>
    </row>
    <row r="506" spans="1:7" x14ac:dyDescent="0.25">
      <c r="A506" s="3">
        <v>44206</v>
      </c>
      <c r="B506" s="2" t="str">
        <f t="shared" si="7"/>
        <v>sa-10-1</v>
      </c>
      <c r="C506" t="s">
        <v>344</v>
      </c>
      <c r="D506" t="s">
        <v>9</v>
      </c>
      <c r="E506">
        <v>2</v>
      </c>
      <c r="F506" s="6">
        <f>VLOOKUP(D506,Products!A$2:C$101,3,FALSE)*E506</f>
        <v>160</v>
      </c>
      <c r="G506" t="s">
        <v>403</v>
      </c>
    </row>
    <row r="507" spans="1:7" x14ac:dyDescent="0.25">
      <c r="A507" s="3">
        <v>44537</v>
      </c>
      <c r="B507" s="2" t="str">
        <f t="shared" si="7"/>
        <v>sa-7-12</v>
      </c>
      <c r="C507" t="s">
        <v>355</v>
      </c>
      <c r="D507" t="s">
        <v>85</v>
      </c>
      <c r="E507">
        <v>3</v>
      </c>
      <c r="F507" s="6">
        <f>VLOOKUP(D507,Products!A$2:C$101,3,FALSE)*E507</f>
        <v>99</v>
      </c>
      <c r="G507" t="s">
        <v>402</v>
      </c>
    </row>
    <row r="508" spans="1:7" x14ac:dyDescent="0.25">
      <c r="A508" s="3">
        <v>44248</v>
      </c>
      <c r="B508" s="2" t="str">
        <f t="shared" si="7"/>
        <v>sa-21-2</v>
      </c>
      <c r="C508" t="s">
        <v>309</v>
      </c>
      <c r="D508" t="s">
        <v>31</v>
      </c>
      <c r="E508">
        <v>6</v>
      </c>
      <c r="F508" s="6">
        <f>VLOOKUP(D508,Products!A$2:C$101,3,FALSE)*E508</f>
        <v>192</v>
      </c>
      <c r="G508" t="s">
        <v>404</v>
      </c>
    </row>
    <row r="509" spans="1:7" x14ac:dyDescent="0.25">
      <c r="A509" s="3">
        <v>43893</v>
      </c>
      <c r="B509" s="2" t="str">
        <f t="shared" si="7"/>
        <v>sa-3-3</v>
      </c>
      <c r="C509" t="s">
        <v>324</v>
      </c>
      <c r="D509" t="s">
        <v>42</v>
      </c>
      <c r="E509">
        <v>4</v>
      </c>
      <c r="F509" s="6">
        <f>VLOOKUP(D509,Products!A$2:C$101,3,FALSE)*E509</f>
        <v>136</v>
      </c>
      <c r="G509" t="s">
        <v>408</v>
      </c>
    </row>
    <row r="510" spans="1:7" x14ac:dyDescent="0.25">
      <c r="A510" s="3">
        <v>43840</v>
      </c>
      <c r="B510" s="2" t="str">
        <f t="shared" si="7"/>
        <v>sa-10-1</v>
      </c>
      <c r="C510" t="s">
        <v>346</v>
      </c>
      <c r="D510" t="s">
        <v>35</v>
      </c>
      <c r="E510">
        <v>5</v>
      </c>
      <c r="F510" s="6">
        <f>VLOOKUP(D510,Products!A$2:C$101,3,FALSE)*E510</f>
        <v>150</v>
      </c>
      <c r="G510" t="s">
        <v>406</v>
      </c>
    </row>
    <row r="511" spans="1:7" x14ac:dyDescent="0.25">
      <c r="A511" s="3">
        <v>44241</v>
      </c>
      <c r="B511" s="2" t="str">
        <f t="shared" si="7"/>
        <v>sa-14-2</v>
      </c>
      <c r="C511" t="s">
        <v>349</v>
      </c>
      <c r="D511" t="s">
        <v>73</v>
      </c>
      <c r="E511">
        <v>4</v>
      </c>
      <c r="F511" s="6">
        <f>VLOOKUP(D511,Products!A$2:C$101,3,FALSE)*E511</f>
        <v>140</v>
      </c>
      <c r="G511" t="s">
        <v>402</v>
      </c>
    </row>
    <row r="512" spans="1:7" x14ac:dyDescent="0.25">
      <c r="A512" s="3">
        <v>44218</v>
      </c>
      <c r="B512" s="2" t="str">
        <f t="shared" si="7"/>
        <v>sa-22-1</v>
      </c>
      <c r="C512" t="s">
        <v>350</v>
      </c>
      <c r="D512" t="s">
        <v>95</v>
      </c>
      <c r="E512">
        <v>3</v>
      </c>
      <c r="F512" s="6">
        <f>VLOOKUP(D512,Products!A$2:C$101,3,FALSE)*E512</f>
        <v>36</v>
      </c>
      <c r="G512" t="s">
        <v>398</v>
      </c>
    </row>
    <row r="513" spans="1:7" x14ac:dyDescent="0.25">
      <c r="A513" s="3">
        <v>44555</v>
      </c>
      <c r="B513" s="2" t="str">
        <f t="shared" si="7"/>
        <v>sa-25-12</v>
      </c>
      <c r="C513" t="s">
        <v>329</v>
      </c>
      <c r="D513" t="s">
        <v>12</v>
      </c>
      <c r="E513">
        <v>4</v>
      </c>
      <c r="F513" s="6">
        <f>VLOOKUP(D513,Products!A$2:C$101,3,FALSE)*E513</f>
        <v>296</v>
      </c>
      <c r="G513" t="s">
        <v>396</v>
      </c>
    </row>
    <row r="514" spans="1:7" x14ac:dyDescent="0.25">
      <c r="A514" s="3">
        <v>44189</v>
      </c>
      <c r="B514" s="2" t="str">
        <f t="shared" si="7"/>
        <v>sa-24-12</v>
      </c>
      <c r="C514" t="s">
        <v>333</v>
      </c>
      <c r="D514" t="s">
        <v>78</v>
      </c>
      <c r="E514">
        <v>5</v>
      </c>
      <c r="F514" s="6">
        <f>VLOOKUP(D514,Products!A$2:C$101,3,FALSE)*E514</f>
        <v>170</v>
      </c>
      <c r="G514" t="s">
        <v>402</v>
      </c>
    </row>
    <row r="515" spans="1:7" x14ac:dyDescent="0.25">
      <c r="A515" s="3">
        <v>43929</v>
      </c>
      <c r="B515" s="2" t="str">
        <f t="shared" ref="B515:B578" si="8">"sa-"&amp;DAY(A515)&amp;"-"&amp;MONTH(A515)</f>
        <v>sa-8-4</v>
      </c>
      <c r="C515" t="s">
        <v>336</v>
      </c>
      <c r="D515" t="s">
        <v>60</v>
      </c>
      <c r="E515">
        <v>6</v>
      </c>
      <c r="F515" s="6">
        <f>VLOOKUP(D515,Products!A$2:C$101,3,FALSE)*E515</f>
        <v>180</v>
      </c>
      <c r="G515" t="s">
        <v>395</v>
      </c>
    </row>
    <row r="516" spans="1:7" x14ac:dyDescent="0.25">
      <c r="A516" s="3">
        <v>44181</v>
      </c>
      <c r="B516" s="2" t="str">
        <f t="shared" si="8"/>
        <v>sa-16-12</v>
      </c>
      <c r="C516" t="s">
        <v>327</v>
      </c>
      <c r="D516" t="s">
        <v>7</v>
      </c>
      <c r="E516">
        <v>6</v>
      </c>
      <c r="F516" s="6">
        <f>VLOOKUP(D516,Products!A$2:C$101,3,FALSE)*E516</f>
        <v>444</v>
      </c>
      <c r="G516" t="s">
        <v>395</v>
      </c>
    </row>
    <row r="517" spans="1:7" x14ac:dyDescent="0.25">
      <c r="A517" s="3">
        <v>43907</v>
      </c>
      <c r="B517" s="2" t="str">
        <f t="shared" si="8"/>
        <v>sa-17-3</v>
      </c>
      <c r="C517" t="s">
        <v>353</v>
      </c>
      <c r="D517" t="s">
        <v>13</v>
      </c>
      <c r="E517">
        <v>6</v>
      </c>
      <c r="F517" s="6">
        <f>VLOOKUP(D517,Products!A$2:C$101,3,FALSE)*E517</f>
        <v>426</v>
      </c>
      <c r="G517" t="s">
        <v>408</v>
      </c>
    </row>
    <row r="518" spans="1:7" x14ac:dyDescent="0.25">
      <c r="A518" s="3">
        <v>44432</v>
      </c>
      <c r="B518" s="2" t="str">
        <f t="shared" si="8"/>
        <v>sa-24-8</v>
      </c>
      <c r="C518" t="s">
        <v>345</v>
      </c>
      <c r="D518" t="s">
        <v>8</v>
      </c>
      <c r="E518">
        <v>3</v>
      </c>
      <c r="F518" s="6">
        <f>VLOOKUP(D518,Products!A$2:C$101,3,FALSE)*E518</f>
        <v>189</v>
      </c>
      <c r="G518" t="s">
        <v>403</v>
      </c>
    </row>
    <row r="519" spans="1:7" x14ac:dyDescent="0.25">
      <c r="A519" s="3">
        <v>43900</v>
      </c>
      <c r="B519" s="2" t="str">
        <f t="shared" si="8"/>
        <v>sa-10-3</v>
      </c>
      <c r="C519" t="s">
        <v>314</v>
      </c>
      <c r="D519" t="s">
        <v>48</v>
      </c>
      <c r="E519">
        <v>6</v>
      </c>
      <c r="F519" s="6">
        <f>VLOOKUP(D519,Products!A$2:C$101,3,FALSE)*E519</f>
        <v>198</v>
      </c>
      <c r="G519" t="s">
        <v>406</v>
      </c>
    </row>
    <row r="520" spans="1:7" x14ac:dyDescent="0.25">
      <c r="A520" s="3">
        <v>44732</v>
      </c>
      <c r="B520" s="2" t="str">
        <f t="shared" si="8"/>
        <v>sa-20-6</v>
      </c>
      <c r="C520" t="s">
        <v>318</v>
      </c>
      <c r="D520" t="s">
        <v>68</v>
      </c>
      <c r="E520">
        <v>3</v>
      </c>
      <c r="F520" s="6">
        <f>VLOOKUP(D520,Products!A$2:C$101,3,FALSE)*E520</f>
        <v>96</v>
      </c>
      <c r="G520" t="s">
        <v>403</v>
      </c>
    </row>
    <row r="521" spans="1:7" x14ac:dyDescent="0.25">
      <c r="A521" s="3">
        <v>44499</v>
      </c>
      <c r="B521" s="2" t="str">
        <f t="shared" si="8"/>
        <v>sa-30-10</v>
      </c>
      <c r="C521" t="s">
        <v>312</v>
      </c>
      <c r="D521" t="s">
        <v>24</v>
      </c>
      <c r="E521">
        <v>6</v>
      </c>
      <c r="F521" s="6">
        <f>VLOOKUP(D521,Products!A$2:C$101,3,FALSE)*E521</f>
        <v>198</v>
      </c>
      <c r="G521" t="s">
        <v>406</v>
      </c>
    </row>
    <row r="522" spans="1:7" x14ac:dyDescent="0.25">
      <c r="A522" s="3">
        <v>44573</v>
      </c>
      <c r="B522" s="2" t="str">
        <f t="shared" si="8"/>
        <v>sa-12-1</v>
      </c>
      <c r="C522" t="s">
        <v>341</v>
      </c>
      <c r="D522" t="s">
        <v>23</v>
      </c>
      <c r="E522">
        <v>6</v>
      </c>
      <c r="F522" s="6">
        <f>VLOOKUP(D522,Products!A$2:C$101,3,FALSE)*E522</f>
        <v>186</v>
      </c>
      <c r="G522" t="s">
        <v>402</v>
      </c>
    </row>
    <row r="523" spans="1:7" x14ac:dyDescent="0.25">
      <c r="A523" s="3">
        <v>44693</v>
      </c>
      <c r="B523" s="2" t="str">
        <f t="shared" si="8"/>
        <v>sa-12-5</v>
      </c>
      <c r="C523" t="s">
        <v>352</v>
      </c>
      <c r="D523" t="s">
        <v>33</v>
      </c>
      <c r="E523">
        <v>3</v>
      </c>
      <c r="F523" s="6">
        <f>VLOOKUP(D523,Products!A$2:C$101,3,FALSE)*E523</f>
        <v>99</v>
      </c>
      <c r="G523" t="s">
        <v>396</v>
      </c>
    </row>
    <row r="524" spans="1:7" x14ac:dyDescent="0.25">
      <c r="A524" s="3">
        <v>44470</v>
      </c>
      <c r="B524" s="2" t="str">
        <f t="shared" si="8"/>
        <v>sa-1-10</v>
      </c>
      <c r="C524" t="s">
        <v>351</v>
      </c>
      <c r="D524" t="s">
        <v>100</v>
      </c>
      <c r="E524">
        <v>3</v>
      </c>
      <c r="F524" s="6">
        <f>VLOOKUP(D524,Products!A$2:C$101,3,FALSE)*E524</f>
        <v>45</v>
      </c>
      <c r="G524" t="s">
        <v>408</v>
      </c>
    </row>
    <row r="525" spans="1:7" x14ac:dyDescent="0.25">
      <c r="A525" s="3">
        <v>44483</v>
      </c>
      <c r="B525" s="2" t="str">
        <f t="shared" si="8"/>
        <v>sa-14-10</v>
      </c>
      <c r="C525" t="s">
        <v>319</v>
      </c>
      <c r="D525" t="s">
        <v>87</v>
      </c>
      <c r="E525">
        <v>6</v>
      </c>
      <c r="F525" s="6">
        <f>VLOOKUP(D525,Products!A$2:C$101,3,FALSE)*E525</f>
        <v>78</v>
      </c>
      <c r="G525" t="s">
        <v>396</v>
      </c>
    </row>
    <row r="526" spans="1:7" x14ac:dyDescent="0.25">
      <c r="A526" s="3">
        <v>43961</v>
      </c>
      <c r="B526" s="2" t="str">
        <f t="shared" si="8"/>
        <v>sa-10-5</v>
      </c>
      <c r="C526" t="s">
        <v>341</v>
      </c>
      <c r="D526" t="s">
        <v>51</v>
      </c>
      <c r="E526">
        <v>5</v>
      </c>
      <c r="F526" s="6">
        <f>VLOOKUP(D526,Products!A$2:C$101,3,FALSE)*E526</f>
        <v>155</v>
      </c>
      <c r="G526" t="s">
        <v>402</v>
      </c>
    </row>
    <row r="527" spans="1:7" x14ac:dyDescent="0.25">
      <c r="A527" s="3">
        <v>44387</v>
      </c>
      <c r="B527" s="2" t="str">
        <f t="shared" si="8"/>
        <v>sa-10-7</v>
      </c>
      <c r="C527" t="s">
        <v>330</v>
      </c>
      <c r="D527" t="s">
        <v>19</v>
      </c>
      <c r="E527">
        <v>2</v>
      </c>
      <c r="F527" s="6">
        <f>VLOOKUP(D527,Products!A$2:C$101,3,FALSE)*E527</f>
        <v>66</v>
      </c>
      <c r="G527" t="s">
        <v>397</v>
      </c>
    </row>
    <row r="528" spans="1:7" x14ac:dyDescent="0.25">
      <c r="A528" s="3">
        <v>43977</v>
      </c>
      <c r="B528" s="2" t="str">
        <f t="shared" si="8"/>
        <v>sa-26-5</v>
      </c>
      <c r="C528" t="s">
        <v>321</v>
      </c>
      <c r="D528" t="s">
        <v>9</v>
      </c>
      <c r="E528">
        <v>2</v>
      </c>
      <c r="F528" s="6">
        <f>VLOOKUP(D528,Products!A$2:C$101,3,FALSE)*E528</f>
        <v>160</v>
      </c>
      <c r="G528" t="s">
        <v>408</v>
      </c>
    </row>
    <row r="529" spans="1:7" x14ac:dyDescent="0.25">
      <c r="A529" s="3">
        <v>44114</v>
      </c>
      <c r="B529" s="2" t="str">
        <f t="shared" si="8"/>
        <v>sa-10-10</v>
      </c>
      <c r="C529" t="s">
        <v>313</v>
      </c>
      <c r="D529" t="s">
        <v>14</v>
      </c>
      <c r="E529">
        <v>6</v>
      </c>
      <c r="F529" s="6">
        <f>VLOOKUP(D529,Products!A$2:C$101,3,FALSE)*E529</f>
        <v>474</v>
      </c>
      <c r="G529" t="s">
        <v>402</v>
      </c>
    </row>
    <row r="530" spans="1:7" x14ac:dyDescent="0.25">
      <c r="A530" s="3">
        <v>44715</v>
      </c>
      <c r="B530" s="2" t="str">
        <f t="shared" si="8"/>
        <v>sa-3-6</v>
      </c>
      <c r="C530" t="s">
        <v>336</v>
      </c>
      <c r="D530" t="s">
        <v>16</v>
      </c>
      <c r="E530">
        <v>2</v>
      </c>
      <c r="F530" s="6">
        <f>VLOOKUP(D530,Products!A$2:C$101,3,FALSE)*E530</f>
        <v>60</v>
      </c>
      <c r="G530" t="s">
        <v>403</v>
      </c>
    </row>
    <row r="531" spans="1:7" x14ac:dyDescent="0.25">
      <c r="A531" s="3">
        <v>43855</v>
      </c>
      <c r="B531" s="2" t="str">
        <f t="shared" si="8"/>
        <v>sa-25-1</v>
      </c>
      <c r="C531" t="s">
        <v>309</v>
      </c>
      <c r="D531" t="s">
        <v>24</v>
      </c>
      <c r="E531">
        <v>4</v>
      </c>
      <c r="F531" s="6">
        <f>VLOOKUP(D531,Products!A$2:C$101,3,FALSE)*E531</f>
        <v>132</v>
      </c>
      <c r="G531" t="s">
        <v>404</v>
      </c>
    </row>
    <row r="532" spans="1:7" x14ac:dyDescent="0.25">
      <c r="A532" s="3">
        <v>44126</v>
      </c>
      <c r="B532" s="2" t="str">
        <f t="shared" si="8"/>
        <v>sa-22-10</v>
      </c>
      <c r="C532" t="s">
        <v>310</v>
      </c>
      <c r="D532" t="s">
        <v>82</v>
      </c>
      <c r="E532">
        <v>2</v>
      </c>
      <c r="F532" s="6">
        <f>VLOOKUP(D532,Products!A$2:C$101,3,FALSE)*E532</f>
        <v>64</v>
      </c>
      <c r="G532" t="s">
        <v>395</v>
      </c>
    </row>
    <row r="533" spans="1:7" x14ac:dyDescent="0.25">
      <c r="A533" s="3">
        <v>44371</v>
      </c>
      <c r="B533" s="2" t="str">
        <f t="shared" si="8"/>
        <v>sa-24-6</v>
      </c>
      <c r="C533" t="s">
        <v>343</v>
      </c>
      <c r="D533" t="s">
        <v>3</v>
      </c>
      <c r="E533">
        <v>5</v>
      </c>
      <c r="F533" s="6">
        <f>VLOOKUP(D533,Products!A$2:C$101,3,FALSE)*E533</f>
        <v>370</v>
      </c>
      <c r="G533" t="s">
        <v>401</v>
      </c>
    </row>
    <row r="534" spans="1:7" x14ac:dyDescent="0.25">
      <c r="A534" s="3">
        <v>44728</v>
      </c>
      <c r="B534" s="2" t="str">
        <f t="shared" si="8"/>
        <v>sa-16-6</v>
      </c>
      <c r="C534" t="s">
        <v>343</v>
      </c>
      <c r="D534" t="s">
        <v>86</v>
      </c>
      <c r="E534">
        <v>5</v>
      </c>
      <c r="F534" s="6">
        <f>VLOOKUP(D534,Products!A$2:C$101,3,FALSE)*E534</f>
        <v>170</v>
      </c>
      <c r="G534" t="s">
        <v>407</v>
      </c>
    </row>
    <row r="535" spans="1:7" x14ac:dyDescent="0.25">
      <c r="A535" s="3">
        <v>44471</v>
      </c>
      <c r="B535" s="2" t="str">
        <f t="shared" si="8"/>
        <v>sa-2-10</v>
      </c>
      <c r="C535" t="s">
        <v>316</v>
      </c>
      <c r="D535" t="s">
        <v>10</v>
      </c>
      <c r="E535">
        <v>6</v>
      </c>
      <c r="F535" s="6">
        <f>VLOOKUP(D535,Products!A$2:C$101,3,FALSE)*E535</f>
        <v>432</v>
      </c>
      <c r="G535" t="s">
        <v>404</v>
      </c>
    </row>
    <row r="536" spans="1:7" x14ac:dyDescent="0.25">
      <c r="A536" s="3">
        <v>44722</v>
      </c>
      <c r="B536" s="2" t="str">
        <f t="shared" si="8"/>
        <v>sa-10-6</v>
      </c>
      <c r="C536" t="s">
        <v>353</v>
      </c>
      <c r="D536" t="s">
        <v>97</v>
      </c>
      <c r="E536">
        <v>3</v>
      </c>
      <c r="F536" s="6">
        <f>VLOOKUP(D536,Products!A$2:C$101,3,FALSE)*E536</f>
        <v>30</v>
      </c>
      <c r="G536" t="s">
        <v>403</v>
      </c>
    </row>
    <row r="537" spans="1:7" x14ac:dyDescent="0.25">
      <c r="A537" s="3">
        <v>43976</v>
      </c>
      <c r="B537" s="2" t="str">
        <f t="shared" si="8"/>
        <v>sa-25-5</v>
      </c>
      <c r="C537" t="s">
        <v>333</v>
      </c>
      <c r="D537" t="s">
        <v>101</v>
      </c>
      <c r="E537">
        <v>4</v>
      </c>
      <c r="F537" s="6">
        <f>VLOOKUP(D537,Products!A$2:C$101,3,FALSE)*E537</f>
        <v>40</v>
      </c>
      <c r="G537" t="s">
        <v>406</v>
      </c>
    </row>
    <row r="538" spans="1:7" x14ac:dyDescent="0.25">
      <c r="A538" s="3">
        <v>44364</v>
      </c>
      <c r="B538" s="2" t="str">
        <f t="shared" si="8"/>
        <v>sa-17-6</v>
      </c>
      <c r="C538" t="s">
        <v>321</v>
      </c>
      <c r="D538" t="s">
        <v>33</v>
      </c>
      <c r="E538">
        <v>3</v>
      </c>
      <c r="F538" s="6">
        <f>VLOOKUP(D538,Products!A$2:C$101,3,FALSE)*E538</f>
        <v>99</v>
      </c>
      <c r="G538" t="s">
        <v>401</v>
      </c>
    </row>
    <row r="539" spans="1:7" x14ac:dyDescent="0.25">
      <c r="A539" s="3">
        <v>44275</v>
      </c>
      <c r="B539" s="2" t="str">
        <f t="shared" si="8"/>
        <v>sa-20-3</v>
      </c>
      <c r="C539" t="s">
        <v>333</v>
      </c>
      <c r="D539" t="s">
        <v>82</v>
      </c>
      <c r="E539">
        <v>2</v>
      </c>
      <c r="F539" s="6">
        <f>VLOOKUP(D539,Products!A$2:C$101,3,FALSE)*E539</f>
        <v>64</v>
      </c>
      <c r="G539" t="s">
        <v>407</v>
      </c>
    </row>
    <row r="540" spans="1:7" x14ac:dyDescent="0.25">
      <c r="A540" s="3">
        <v>44036</v>
      </c>
      <c r="B540" s="2" t="str">
        <f t="shared" si="8"/>
        <v>sa-24-7</v>
      </c>
      <c r="C540" t="s">
        <v>333</v>
      </c>
      <c r="D540" t="s">
        <v>62</v>
      </c>
      <c r="E540">
        <v>3</v>
      </c>
      <c r="F540" s="6">
        <f>VLOOKUP(D540,Products!A$2:C$101,3,FALSE)*E540</f>
        <v>96</v>
      </c>
      <c r="G540" t="s">
        <v>407</v>
      </c>
    </row>
    <row r="541" spans="1:7" x14ac:dyDescent="0.25">
      <c r="A541" s="3">
        <v>44724</v>
      </c>
      <c r="B541" s="2" t="str">
        <f t="shared" si="8"/>
        <v>sa-12-6</v>
      </c>
      <c r="C541" t="s">
        <v>341</v>
      </c>
      <c r="D541" t="s">
        <v>39</v>
      </c>
      <c r="E541">
        <v>5</v>
      </c>
      <c r="F541" s="6">
        <f>VLOOKUP(D541,Products!A$2:C$101,3,FALSE)*E541</f>
        <v>160</v>
      </c>
      <c r="G541" t="s">
        <v>405</v>
      </c>
    </row>
    <row r="542" spans="1:7" x14ac:dyDescent="0.25">
      <c r="A542" s="3">
        <v>44415</v>
      </c>
      <c r="B542" s="2" t="str">
        <f t="shared" si="8"/>
        <v>sa-7-8</v>
      </c>
      <c r="C542" t="s">
        <v>313</v>
      </c>
      <c r="D542" t="s">
        <v>38</v>
      </c>
      <c r="E542">
        <v>3</v>
      </c>
      <c r="F542" s="6">
        <f>VLOOKUP(D542,Products!A$2:C$101,3,FALSE)*E542</f>
        <v>96</v>
      </c>
      <c r="G542" t="s">
        <v>397</v>
      </c>
    </row>
    <row r="543" spans="1:7" x14ac:dyDescent="0.25">
      <c r="A543" s="3">
        <v>43992</v>
      </c>
      <c r="B543" s="2" t="str">
        <f t="shared" si="8"/>
        <v>sa-10-6</v>
      </c>
      <c r="C543" t="s">
        <v>343</v>
      </c>
      <c r="D543" t="s">
        <v>90</v>
      </c>
      <c r="E543">
        <v>6</v>
      </c>
      <c r="F543" s="6">
        <f>VLOOKUP(D543,Products!A$2:C$101,3,FALSE)*E543</f>
        <v>60</v>
      </c>
      <c r="G543" t="s">
        <v>397</v>
      </c>
    </row>
    <row r="544" spans="1:7" x14ac:dyDescent="0.25">
      <c r="A544" s="3">
        <v>44396</v>
      </c>
      <c r="B544" s="2" t="str">
        <f t="shared" si="8"/>
        <v>sa-19-7</v>
      </c>
      <c r="C544" t="s">
        <v>346</v>
      </c>
      <c r="D544" t="s">
        <v>95</v>
      </c>
      <c r="E544">
        <v>2</v>
      </c>
      <c r="F544" s="6">
        <f>VLOOKUP(D544,Products!A$2:C$101,3,FALSE)*E544</f>
        <v>24</v>
      </c>
      <c r="G544" t="s">
        <v>397</v>
      </c>
    </row>
    <row r="545" spans="1:7" x14ac:dyDescent="0.25">
      <c r="A545" s="3">
        <v>44075</v>
      </c>
      <c r="B545" s="2" t="str">
        <f t="shared" si="8"/>
        <v>sa-1-9</v>
      </c>
      <c r="C545" t="s">
        <v>309</v>
      </c>
      <c r="D545" t="s">
        <v>2</v>
      </c>
      <c r="E545">
        <v>6</v>
      </c>
      <c r="F545" s="6">
        <f>VLOOKUP(D545,Products!A$2:C$101,3,FALSE)*E545</f>
        <v>396</v>
      </c>
      <c r="G545" t="s">
        <v>399</v>
      </c>
    </row>
    <row r="546" spans="1:7" x14ac:dyDescent="0.25">
      <c r="A546" s="3">
        <v>43878</v>
      </c>
      <c r="B546" s="2" t="str">
        <f t="shared" si="8"/>
        <v>sa-17-2</v>
      </c>
      <c r="C546" t="s">
        <v>345</v>
      </c>
      <c r="D546" t="s">
        <v>93</v>
      </c>
      <c r="E546">
        <v>4</v>
      </c>
      <c r="F546" s="6">
        <f>VLOOKUP(D546,Products!A$2:C$101,3,FALSE)*E546</f>
        <v>68</v>
      </c>
      <c r="G546" t="s">
        <v>403</v>
      </c>
    </row>
    <row r="547" spans="1:7" x14ac:dyDescent="0.25">
      <c r="A547" s="3">
        <v>44072</v>
      </c>
      <c r="B547" s="2" t="str">
        <f t="shared" si="8"/>
        <v>sa-29-8</v>
      </c>
      <c r="C547" t="s">
        <v>340</v>
      </c>
      <c r="D547" t="s">
        <v>43</v>
      </c>
      <c r="E547">
        <v>5</v>
      </c>
      <c r="F547" s="6">
        <f>VLOOKUP(D547,Products!A$2:C$101,3,FALSE)*E547</f>
        <v>165</v>
      </c>
      <c r="G547" t="s">
        <v>397</v>
      </c>
    </row>
    <row r="548" spans="1:7" x14ac:dyDescent="0.25">
      <c r="A548" s="3">
        <v>44057</v>
      </c>
      <c r="B548" s="2" t="str">
        <f t="shared" si="8"/>
        <v>sa-14-8</v>
      </c>
      <c r="C548" t="s">
        <v>347</v>
      </c>
      <c r="D548" t="s">
        <v>92</v>
      </c>
      <c r="E548">
        <v>6</v>
      </c>
      <c r="F548" s="6">
        <f>VLOOKUP(D548,Products!A$2:C$101,3,FALSE)*E548</f>
        <v>84</v>
      </c>
      <c r="G548" t="s">
        <v>400</v>
      </c>
    </row>
    <row r="549" spans="1:7" x14ac:dyDescent="0.25">
      <c r="A549" s="3">
        <v>43895</v>
      </c>
      <c r="B549" s="2" t="str">
        <f t="shared" si="8"/>
        <v>sa-5-3</v>
      </c>
      <c r="C549" t="s">
        <v>347</v>
      </c>
      <c r="D549" t="s">
        <v>100</v>
      </c>
      <c r="E549">
        <v>6</v>
      </c>
      <c r="F549" s="6">
        <f>VLOOKUP(D549,Products!A$2:C$101,3,FALSE)*E549</f>
        <v>90</v>
      </c>
      <c r="G549" t="s">
        <v>406</v>
      </c>
    </row>
    <row r="550" spans="1:7" x14ac:dyDescent="0.25">
      <c r="A550" s="3">
        <v>44063</v>
      </c>
      <c r="B550" s="2" t="str">
        <f t="shared" si="8"/>
        <v>sa-20-8</v>
      </c>
      <c r="C550" t="s">
        <v>330</v>
      </c>
      <c r="D550" t="s">
        <v>9</v>
      </c>
      <c r="E550">
        <v>2</v>
      </c>
      <c r="F550" s="6">
        <f>VLOOKUP(D550,Products!A$2:C$101,3,FALSE)*E550</f>
        <v>160</v>
      </c>
      <c r="G550" t="s">
        <v>402</v>
      </c>
    </row>
    <row r="551" spans="1:7" x14ac:dyDescent="0.25">
      <c r="A551" s="3">
        <v>44284</v>
      </c>
      <c r="B551" s="2" t="str">
        <f t="shared" si="8"/>
        <v>sa-29-3</v>
      </c>
      <c r="C551" t="s">
        <v>338</v>
      </c>
      <c r="D551" t="s">
        <v>99</v>
      </c>
      <c r="E551">
        <v>2</v>
      </c>
      <c r="F551" s="6">
        <f>VLOOKUP(D551,Products!A$2:C$101,3,FALSE)*E551</f>
        <v>30</v>
      </c>
      <c r="G551" t="s">
        <v>404</v>
      </c>
    </row>
    <row r="552" spans="1:7" x14ac:dyDescent="0.25">
      <c r="A552" s="3">
        <v>44702</v>
      </c>
      <c r="B552" s="2" t="str">
        <f t="shared" si="8"/>
        <v>sa-21-5</v>
      </c>
      <c r="C552" t="s">
        <v>315</v>
      </c>
      <c r="D552" t="s">
        <v>58</v>
      </c>
      <c r="E552">
        <v>5</v>
      </c>
      <c r="F552" s="6">
        <f>VLOOKUP(D552,Products!A$2:C$101,3,FALSE)*E552</f>
        <v>175</v>
      </c>
      <c r="G552" t="s">
        <v>400</v>
      </c>
    </row>
    <row r="553" spans="1:7" x14ac:dyDescent="0.25">
      <c r="A553" s="3">
        <v>43869</v>
      </c>
      <c r="B553" s="2" t="str">
        <f t="shared" si="8"/>
        <v>sa-8-2</v>
      </c>
      <c r="C553" t="s">
        <v>346</v>
      </c>
      <c r="D553" t="s">
        <v>100</v>
      </c>
      <c r="E553">
        <v>6</v>
      </c>
      <c r="F553" s="6">
        <f>VLOOKUP(D553,Products!A$2:C$101,3,FALSE)*E553</f>
        <v>90</v>
      </c>
      <c r="G553" t="s">
        <v>401</v>
      </c>
    </row>
    <row r="554" spans="1:7" x14ac:dyDescent="0.25">
      <c r="A554" s="3">
        <v>43929</v>
      </c>
      <c r="B554" s="2" t="str">
        <f t="shared" si="8"/>
        <v>sa-8-4</v>
      </c>
      <c r="C554" t="s">
        <v>336</v>
      </c>
      <c r="D554" t="s">
        <v>50</v>
      </c>
      <c r="E554">
        <v>5</v>
      </c>
      <c r="F554" s="6">
        <f>VLOOKUP(D554,Products!A$2:C$101,3,FALSE)*E554</f>
        <v>160</v>
      </c>
      <c r="G554" t="s">
        <v>400</v>
      </c>
    </row>
    <row r="555" spans="1:7" x14ac:dyDescent="0.25">
      <c r="A555" s="3">
        <v>43917</v>
      </c>
      <c r="B555" s="2" t="str">
        <f t="shared" si="8"/>
        <v>sa-27-3</v>
      </c>
      <c r="C555" t="s">
        <v>343</v>
      </c>
      <c r="D555" t="s">
        <v>17</v>
      </c>
      <c r="E555">
        <v>3</v>
      </c>
      <c r="F555" s="6">
        <f>VLOOKUP(D555,Products!A$2:C$101,3,FALSE)*E555</f>
        <v>96</v>
      </c>
      <c r="G555" t="s">
        <v>406</v>
      </c>
    </row>
    <row r="556" spans="1:7" x14ac:dyDescent="0.25">
      <c r="A556" s="3">
        <v>43956</v>
      </c>
      <c r="B556" s="2" t="str">
        <f t="shared" si="8"/>
        <v>sa-5-5</v>
      </c>
      <c r="C556" t="s">
        <v>338</v>
      </c>
      <c r="D556" t="s">
        <v>71</v>
      </c>
      <c r="E556">
        <v>5</v>
      </c>
      <c r="F556" s="6">
        <f>VLOOKUP(D556,Products!A$2:C$101,3,FALSE)*E556</f>
        <v>170</v>
      </c>
      <c r="G556" t="s">
        <v>395</v>
      </c>
    </row>
    <row r="557" spans="1:7" x14ac:dyDescent="0.25">
      <c r="A557" s="3">
        <v>44606</v>
      </c>
      <c r="B557" s="2" t="str">
        <f t="shared" si="8"/>
        <v>sa-14-2</v>
      </c>
      <c r="C557" t="s">
        <v>338</v>
      </c>
      <c r="D557" t="s">
        <v>54</v>
      </c>
      <c r="E557">
        <v>2</v>
      </c>
      <c r="F557" s="6">
        <f>VLOOKUP(D557,Products!A$2:C$101,3,FALSE)*E557</f>
        <v>70</v>
      </c>
      <c r="G557" t="s">
        <v>395</v>
      </c>
    </row>
    <row r="558" spans="1:7" x14ac:dyDescent="0.25">
      <c r="A558" s="3">
        <v>44429</v>
      </c>
      <c r="B558" s="2" t="str">
        <f t="shared" si="8"/>
        <v>sa-21-8</v>
      </c>
      <c r="C558" t="s">
        <v>317</v>
      </c>
      <c r="D558" t="s">
        <v>68</v>
      </c>
      <c r="E558">
        <v>2</v>
      </c>
      <c r="F558" s="6">
        <f>VLOOKUP(D558,Products!A$2:C$101,3,FALSE)*E558</f>
        <v>64</v>
      </c>
      <c r="G558" t="s">
        <v>404</v>
      </c>
    </row>
    <row r="559" spans="1:7" x14ac:dyDescent="0.25">
      <c r="A559" s="3">
        <v>44090</v>
      </c>
      <c r="B559" s="2" t="str">
        <f t="shared" si="8"/>
        <v>sa-16-9</v>
      </c>
      <c r="C559" t="s">
        <v>322</v>
      </c>
      <c r="D559" t="s">
        <v>9</v>
      </c>
      <c r="E559">
        <v>4</v>
      </c>
      <c r="F559" s="6">
        <f>VLOOKUP(D559,Products!A$2:C$101,3,FALSE)*E559</f>
        <v>320</v>
      </c>
      <c r="G559" t="s">
        <v>402</v>
      </c>
    </row>
    <row r="560" spans="1:7" x14ac:dyDescent="0.25">
      <c r="A560" s="3">
        <v>44645</v>
      </c>
      <c r="B560" s="2" t="str">
        <f t="shared" si="8"/>
        <v>sa-25-3</v>
      </c>
      <c r="C560" t="s">
        <v>339</v>
      </c>
      <c r="D560" t="s">
        <v>57</v>
      </c>
      <c r="E560">
        <v>2</v>
      </c>
      <c r="F560" s="6">
        <f>VLOOKUP(D560,Products!A$2:C$101,3,FALSE)*E560</f>
        <v>70</v>
      </c>
      <c r="G560" t="s">
        <v>405</v>
      </c>
    </row>
    <row r="561" spans="1:7" x14ac:dyDescent="0.25">
      <c r="A561" s="3">
        <v>43886</v>
      </c>
      <c r="B561" s="2" t="str">
        <f t="shared" si="8"/>
        <v>sa-25-2</v>
      </c>
      <c r="C561" t="s">
        <v>340</v>
      </c>
      <c r="D561" t="s">
        <v>28</v>
      </c>
      <c r="E561">
        <v>2</v>
      </c>
      <c r="F561" s="6">
        <f>VLOOKUP(D561,Products!A$2:C$101,3,FALSE)*E561</f>
        <v>60</v>
      </c>
      <c r="G561" t="s">
        <v>402</v>
      </c>
    </row>
    <row r="562" spans="1:7" x14ac:dyDescent="0.25">
      <c r="A562" s="3">
        <v>43879</v>
      </c>
      <c r="B562" s="2" t="str">
        <f t="shared" si="8"/>
        <v>sa-18-2</v>
      </c>
      <c r="C562" t="s">
        <v>322</v>
      </c>
      <c r="D562" t="s">
        <v>44</v>
      </c>
      <c r="E562">
        <v>2</v>
      </c>
      <c r="F562" s="6">
        <f>VLOOKUP(D562,Products!A$2:C$101,3,FALSE)*E562</f>
        <v>62</v>
      </c>
      <c r="G562" t="s">
        <v>403</v>
      </c>
    </row>
    <row r="563" spans="1:7" x14ac:dyDescent="0.25">
      <c r="A563" s="3">
        <v>44642</v>
      </c>
      <c r="B563" s="2" t="str">
        <f t="shared" si="8"/>
        <v>sa-22-3</v>
      </c>
      <c r="C563" t="s">
        <v>323</v>
      </c>
      <c r="D563" t="s">
        <v>53</v>
      </c>
      <c r="E563">
        <v>5</v>
      </c>
      <c r="F563" s="6">
        <f>VLOOKUP(D563,Products!A$2:C$101,3,FALSE)*E563</f>
        <v>160</v>
      </c>
      <c r="G563" t="s">
        <v>408</v>
      </c>
    </row>
    <row r="564" spans="1:7" x14ac:dyDescent="0.25">
      <c r="A564" s="3">
        <v>44710</v>
      </c>
      <c r="B564" s="2" t="str">
        <f t="shared" si="8"/>
        <v>sa-29-5</v>
      </c>
      <c r="C564" t="s">
        <v>313</v>
      </c>
      <c r="D564" t="s">
        <v>42</v>
      </c>
      <c r="E564">
        <v>6</v>
      </c>
      <c r="F564" s="6">
        <f>VLOOKUP(D564,Products!A$2:C$101,3,FALSE)*E564</f>
        <v>204</v>
      </c>
      <c r="G564" t="s">
        <v>400</v>
      </c>
    </row>
    <row r="565" spans="1:7" x14ac:dyDescent="0.25">
      <c r="A565" s="3">
        <v>44678</v>
      </c>
      <c r="B565" s="2" t="str">
        <f t="shared" si="8"/>
        <v>sa-27-4</v>
      </c>
      <c r="C565" t="s">
        <v>353</v>
      </c>
      <c r="D565" t="s">
        <v>7</v>
      </c>
      <c r="E565">
        <v>2</v>
      </c>
      <c r="F565" s="6">
        <f>VLOOKUP(D565,Products!A$2:C$101,3,FALSE)*E565</f>
        <v>148</v>
      </c>
      <c r="G565" t="s">
        <v>399</v>
      </c>
    </row>
    <row r="566" spans="1:7" x14ac:dyDescent="0.25">
      <c r="A566" s="3">
        <v>44034</v>
      </c>
      <c r="B566" s="2" t="str">
        <f t="shared" si="8"/>
        <v>sa-22-7</v>
      </c>
      <c r="C566" t="s">
        <v>337</v>
      </c>
      <c r="D566" t="s">
        <v>27</v>
      </c>
      <c r="E566">
        <v>2</v>
      </c>
      <c r="F566" s="6">
        <f>VLOOKUP(D566,Products!A$2:C$101,3,FALSE)*E566</f>
        <v>68</v>
      </c>
      <c r="G566" t="s">
        <v>407</v>
      </c>
    </row>
    <row r="567" spans="1:7" x14ac:dyDescent="0.25">
      <c r="A567" s="3">
        <v>44380</v>
      </c>
      <c r="B567" s="2" t="str">
        <f t="shared" si="8"/>
        <v>sa-3-7</v>
      </c>
      <c r="C567" t="s">
        <v>322</v>
      </c>
      <c r="D567" t="s">
        <v>73</v>
      </c>
      <c r="E567">
        <v>4</v>
      </c>
      <c r="F567" s="6">
        <f>VLOOKUP(D567,Products!A$2:C$101,3,FALSE)*E567</f>
        <v>140</v>
      </c>
      <c r="G567" t="s">
        <v>402</v>
      </c>
    </row>
    <row r="568" spans="1:7" x14ac:dyDescent="0.25">
      <c r="A568" s="3">
        <v>44287</v>
      </c>
      <c r="B568" s="2" t="str">
        <f t="shared" si="8"/>
        <v>sa-1-4</v>
      </c>
      <c r="C568" t="s">
        <v>339</v>
      </c>
      <c r="D568" t="s">
        <v>2</v>
      </c>
      <c r="E568">
        <v>5</v>
      </c>
      <c r="F568" s="6">
        <f>VLOOKUP(D568,Products!A$2:C$101,3,FALSE)*E568</f>
        <v>330</v>
      </c>
      <c r="G568" t="s">
        <v>395</v>
      </c>
    </row>
    <row r="569" spans="1:7" x14ac:dyDescent="0.25">
      <c r="A569" s="3">
        <v>44484</v>
      </c>
      <c r="B569" s="2" t="str">
        <f t="shared" si="8"/>
        <v>sa-15-10</v>
      </c>
      <c r="C569" t="s">
        <v>329</v>
      </c>
      <c r="D569" t="s">
        <v>36</v>
      </c>
      <c r="E569">
        <v>4</v>
      </c>
      <c r="F569" s="6">
        <f>VLOOKUP(D569,Products!A$2:C$101,3,FALSE)*E569</f>
        <v>136</v>
      </c>
      <c r="G569" t="s">
        <v>408</v>
      </c>
    </row>
    <row r="570" spans="1:7" x14ac:dyDescent="0.25">
      <c r="A570" s="3">
        <v>43854</v>
      </c>
      <c r="B570" s="2" t="str">
        <f t="shared" si="8"/>
        <v>sa-24-1</v>
      </c>
      <c r="C570" t="s">
        <v>344</v>
      </c>
      <c r="D570" t="s">
        <v>32</v>
      </c>
      <c r="E570">
        <v>6</v>
      </c>
      <c r="F570" s="6">
        <f>VLOOKUP(D570,Products!A$2:C$101,3,FALSE)*E570</f>
        <v>204</v>
      </c>
      <c r="G570" t="s">
        <v>399</v>
      </c>
    </row>
    <row r="571" spans="1:7" x14ac:dyDescent="0.25">
      <c r="A571" s="3">
        <v>44229</v>
      </c>
      <c r="B571" s="2" t="str">
        <f t="shared" si="8"/>
        <v>sa-2-2</v>
      </c>
      <c r="C571" t="s">
        <v>329</v>
      </c>
      <c r="D571" t="s">
        <v>40</v>
      </c>
      <c r="E571">
        <v>3</v>
      </c>
      <c r="F571" s="6">
        <f>VLOOKUP(D571,Products!A$2:C$101,3,FALSE)*E571</f>
        <v>102</v>
      </c>
      <c r="G571" t="s">
        <v>396</v>
      </c>
    </row>
    <row r="572" spans="1:7" x14ac:dyDescent="0.25">
      <c r="A572" s="3">
        <v>44731</v>
      </c>
      <c r="B572" s="2" t="str">
        <f t="shared" si="8"/>
        <v>sa-19-6</v>
      </c>
      <c r="C572" t="s">
        <v>322</v>
      </c>
      <c r="D572" t="s">
        <v>32</v>
      </c>
      <c r="E572">
        <v>5</v>
      </c>
      <c r="F572" s="6">
        <f>VLOOKUP(D572,Products!A$2:C$101,3,FALSE)*E572</f>
        <v>170</v>
      </c>
      <c r="G572" t="s">
        <v>404</v>
      </c>
    </row>
    <row r="573" spans="1:7" x14ac:dyDescent="0.25">
      <c r="A573" s="3">
        <v>44335</v>
      </c>
      <c r="B573" s="2" t="str">
        <f t="shared" si="8"/>
        <v>sa-19-5</v>
      </c>
      <c r="C573" t="s">
        <v>313</v>
      </c>
      <c r="D573" t="s">
        <v>2</v>
      </c>
      <c r="E573">
        <v>4</v>
      </c>
      <c r="F573" s="6">
        <f>VLOOKUP(D573,Products!A$2:C$101,3,FALSE)*E573</f>
        <v>264</v>
      </c>
      <c r="G573" t="s">
        <v>406</v>
      </c>
    </row>
    <row r="574" spans="1:7" x14ac:dyDescent="0.25">
      <c r="A574" s="3">
        <v>44283</v>
      </c>
      <c r="B574" s="2" t="str">
        <f t="shared" si="8"/>
        <v>sa-28-3</v>
      </c>
      <c r="C574" t="s">
        <v>322</v>
      </c>
      <c r="D574" t="s">
        <v>23</v>
      </c>
      <c r="E574">
        <v>2</v>
      </c>
      <c r="F574" s="6">
        <f>VLOOKUP(D574,Products!A$2:C$101,3,FALSE)*E574</f>
        <v>62</v>
      </c>
      <c r="G574" t="s">
        <v>407</v>
      </c>
    </row>
    <row r="575" spans="1:7" x14ac:dyDescent="0.25">
      <c r="A575" s="3">
        <v>44473</v>
      </c>
      <c r="B575" s="2" t="str">
        <f t="shared" si="8"/>
        <v>sa-4-10</v>
      </c>
      <c r="C575" t="s">
        <v>351</v>
      </c>
      <c r="D575" t="s">
        <v>9</v>
      </c>
      <c r="E575">
        <v>6</v>
      </c>
      <c r="F575" s="6">
        <f>VLOOKUP(D575,Products!A$2:C$101,3,FALSE)*E575</f>
        <v>480</v>
      </c>
      <c r="G575" t="s">
        <v>401</v>
      </c>
    </row>
    <row r="576" spans="1:7" x14ac:dyDescent="0.25">
      <c r="A576" s="3">
        <v>43924</v>
      </c>
      <c r="B576" s="2" t="str">
        <f t="shared" si="8"/>
        <v>sa-3-4</v>
      </c>
      <c r="C576" t="s">
        <v>308</v>
      </c>
      <c r="D576" t="s">
        <v>29</v>
      </c>
      <c r="E576">
        <v>4</v>
      </c>
      <c r="F576" s="6">
        <f>VLOOKUP(D576,Products!A$2:C$101,3,FALSE)*E576</f>
        <v>124</v>
      </c>
      <c r="G576" t="s">
        <v>407</v>
      </c>
    </row>
    <row r="577" spans="1:7" x14ac:dyDescent="0.25">
      <c r="A577" s="3">
        <v>44424</v>
      </c>
      <c r="B577" s="2" t="str">
        <f t="shared" si="8"/>
        <v>sa-16-8</v>
      </c>
      <c r="C577" t="s">
        <v>315</v>
      </c>
      <c r="D577" t="s">
        <v>11</v>
      </c>
      <c r="E577">
        <v>2</v>
      </c>
      <c r="F577" s="6">
        <f>VLOOKUP(D577,Products!A$2:C$101,3,FALSE)*E577</f>
        <v>156</v>
      </c>
      <c r="G577" t="s">
        <v>402</v>
      </c>
    </row>
    <row r="578" spans="1:7" x14ac:dyDescent="0.25">
      <c r="A578" s="3">
        <v>44139</v>
      </c>
      <c r="B578" s="2" t="str">
        <f t="shared" si="8"/>
        <v>sa-4-11</v>
      </c>
      <c r="C578" t="s">
        <v>337</v>
      </c>
      <c r="D578" t="s">
        <v>100</v>
      </c>
      <c r="E578">
        <v>3</v>
      </c>
      <c r="F578" s="6">
        <f>VLOOKUP(D578,Products!A$2:C$101,3,FALSE)*E578</f>
        <v>45</v>
      </c>
      <c r="G578" t="s">
        <v>401</v>
      </c>
    </row>
    <row r="579" spans="1:7" x14ac:dyDescent="0.25">
      <c r="A579" s="3">
        <v>44676</v>
      </c>
      <c r="B579" s="2" t="str">
        <f t="shared" ref="B579:B642" si="9">"sa-"&amp;DAY(A579)&amp;"-"&amp;MONTH(A579)</f>
        <v>sa-25-4</v>
      </c>
      <c r="C579" t="s">
        <v>314</v>
      </c>
      <c r="D579" t="s">
        <v>31</v>
      </c>
      <c r="E579">
        <v>2</v>
      </c>
      <c r="F579" s="6">
        <f>VLOOKUP(D579,Products!A$2:C$101,3,FALSE)*E579</f>
        <v>64</v>
      </c>
      <c r="G579" t="s">
        <v>404</v>
      </c>
    </row>
    <row r="580" spans="1:7" x14ac:dyDescent="0.25">
      <c r="A580" s="3">
        <v>44597</v>
      </c>
      <c r="B580" s="2" t="str">
        <f t="shared" si="9"/>
        <v>sa-5-2</v>
      </c>
      <c r="C580" t="s">
        <v>340</v>
      </c>
      <c r="D580" t="s">
        <v>41</v>
      </c>
      <c r="E580">
        <v>4</v>
      </c>
      <c r="F580" s="6">
        <f>VLOOKUP(D580,Products!A$2:C$101,3,FALSE)*E580</f>
        <v>132</v>
      </c>
      <c r="G580" t="s">
        <v>407</v>
      </c>
    </row>
    <row r="581" spans="1:7" x14ac:dyDescent="0.25">
      <c r="A581" s="3">
        <v>44179</v>
      </c>
      <c r="B581" s="2" t="str">
        <f t="shared" si="9"/>
        <v>sa-14-12</v>
      </c>
      <c r="C581" t="s">
        <v>339</v>
      </c>
      <c r="D581" t="s">
        <v>13</v>
      </c>
      <c r="E581">
        <v>4</v>
      </c>
      <c r="F581" s="6">
        <f>VLOOKUP(D581,Products!A$2:C$101,3,FALSE)*E581</f>
        <v>284</v>
      </c>
      <c r="G581" t="s">
        <v>404</v>
      </c>
    </row>
    <row r="582" spans="1:7" x14ac:dyDescent="0.25">
      <c r="A582" s="3">
        <v>43979</v>
      </c>
      <c r="B582" s="2" t="str">
        <f t="shared" si="9"/>
        <v>sa-28-5</v>
      </c>
      <c r="C582" t="s">
        <v>354</v>
      </c>
      <c r="D582" t="s">
        <v>17</v>
      </c>
      <c r="E582">
        <v>3</v>
      </c>
      <c r="F582" s="6">
        <f>VLOOKUP(D582,Products!A$2:C$101,3,FALSE)*E582</f>
        <v>96</v>
      </c>
      <c r="G582" t="s">
        <v>404</v>
      </c>
    </row>
    <row r="583" spans="1:7" x14ac:dyDescent="0.25">
      <c r="A583" s="3">
        <v>44240</v>
      </c>
      <c r="B583" s="2" t="str">
        <f t="shared" si="9"/>
        <v>sa-13-2</v>
      </c>
      <c r="C583" t="s">
        <v>315</v>
      </c>
      <c r="D583" t="s">
        <v>39</v>
      </c>
      <c r="E583">
        <v>5</v>
      </c>
      <c r="F583" s="6">
        <f>VLOOKUP(D583,Products!A$2:C$101,3,FALSE)*E583</f>
        <v>160</v>
      </c>
      <c r="G583" t="s">
        <v>396</v>
      </c>
    </row>
    <row r="584" spans="1:7" x14ac:dyDescent="0.25">
      <c r="A584" s="3">
        <v>44436</v>
      </c>
      <c r="B584" s="2" t="str">
        <f t="shared" si="9"/>
        <v>sa-28-8</v>
      </c>
      <c r="C584" t="s">
        <v>308</v>
      </c>
      <c r="D584" t="s">
        <v>11</v>
      </c>
      <c r="E584">
        <v>5</v>
      </c>
      <c r="F584" s="6">
        <f>VLOOKUP(D584,Products!A$2:C$101,3,FALSE)*E584</f>
        <v>390</v>
      </c>
      <c r="G584" t="s">
        <v>403</v>
      </c>
    </row>
    <row r="585" spans="1:7" x14ac:dyDescent="0.25">
      <c r="A585" s="3">
        <v>43988</v>
      </c>
      <c r="B585" s="2" t="str">
        <f t="shared" si="9"/>
        <v>sa-6-6</v>
      </c>
      <c r="C585" t="s">
        <v>338</v>
      </c>
      <c r="D585" t="s">
        <v>61</v>
      </c>
      <c r="E585">
        <v>6</v>
      </c>
      <c r="F585" s="6">
        <f>VLOOKUP(D585,Products!A$2:C$101,3,FALSE)*E585</f>
        <v>186</v>
      </c>
      <c r="G585" t="s">
        <v>397</v>
      </c>
    </row>
    <row r="586" spans="1:7" x14ac:dyDescent="0.25">
      <c r="A586" s="3">
        <v>44516</v>
      </c>
      <c r="B586" s="2" t="str">
        <f t="shared" si="9"/>
        <v>sa-16-11</v>
      </c>
      <c r="C586" t="s">
        <v>318</v>
      </c>
      <c r="D586" t="s">
        <v>55</v>
      </c>
      <c r="E586">
        <v>5</v>
      </c>
      <c r="F586" s="6">
        <f>VLOOKUP(D586,Products!A$2:C$101,3,FALSE)*E586</f>
        <v>160</v>
      </c>
      <c r="G586" t="s">
        <v>402</v>
      </c>
    </row>
    <row r="587" spans="1:7" x14ac:dyDescent="0.25">
      <c r="A587" s="3">
        <v>43904</v>
      </c>
      <c r="B587" s="2" t="str">
        <f t="shared" si="9"/>
        <v>sa-14-3</v>
      </c>
      <c r="C587" t="s">
        <v>354</v>
      </c>
      <c r="D587" t="s">
        <v>33</v>
      </c>
      <c r="E587">
        <v>5</v>
      </c>
      <c r="F587" s="6">
        <f>VLOOKUP(D587,Products!A$2:C$101,3,FALSE)*E587</f>
        <v>165</v>
      </c>
      <c r="G587" t="s">
        <v>399</v>
      </c>
    </row>
    <row r="588" spans="1:7" x14ac:dyDescent="0.25">
      <c r="A588" s="3">
        <v>44535</v>
      </c>
      <c r="B588" s="2" t="str">
        <f t="shared" si="9"/>
        <v>sa-5-12</v>
      </c>
      <c r="C588" t="s">
        <v>319</v>
      </c>
      <c r="D588" t="s">
        <v>90</v>
      </c>
      <c r="E588">
        <v>3</v>
      </c>
      <c r="F588" s="6">
        <f>VLOOKUP(D588,Products!A$2:C$101,3,FALSE)*E588</f>
        <v>30</v>
      </c>
      <c r="G588" t="s">
        <v>397</v>
      </c>
    </row>
    <row r="589" spans="1:7" x14ac:dyDescent="0.25">
      <c r="A589" s="3">
        <v>44063</v>
      </c>
      <c r="B589" s="2" t="str">
        <f t="shared" si="9"/>
        <v>sa-20-8</v>
      </c>
      <c r="C589" t="s">
        <v>330</v>
      </c>
      <c r="D589" t="s">
        <v>2</v>
      </c>
      <c r="E589">
        <v>3</v>
      </c>
      <c r="F589" s="6">
        <f>VLOOKUP(D589,Products!A$2:C$101,3,FALSE)*E589</f>
        <v>198</v>
      </c>
      <c r="G589" t="s">
        <v>397</v>
      </c>
    </row>
    <row r="590" spans="1:7" x14ac:dyDescent="0.25">
      <c r="A590" s="3">
        <v>44414</v>
      </c>
      <c r="B590" s="2" t="str">
        <f t="shared" si="9"/>
        <v>sa-6-8</v>
      </c>
      <c r="C590" t="s">
        <v>355</v>
      </c>
      <c r="D590" t="s">
        <v>3</v>
      </c>
      <c r="E590">
        <v>2</v>
      </c>
      <c r="F590" s="6">
        <f>VLOOKUP(D590,Products!A$2:C$101,3,FALSE)*E590</f>
        <v>148</v>
      </c>
      <c r="G590" t="s">
        <v>405</v>
      </c>
    </row>
    <row r="591" spans="1:7" x14ac:dyDescent="0.25">
      <c r="A591" s="3">
        <v>44211</v>
      </c>
      <c r="B591" s="2" t="str">
        <f t="shared" si="9"/>
        <v>sa-15-1</v>
      </c>
      <c r="C591" t="s">
        <v>337</v>
      </c>
      <c r="D591" t="s">
        <v>55</v>
      </c>
      <c r="E591">
        <v>4</v>
      </c>
      <c r="F591" s="6">
        <f>VLOOKUP(D591,Products!A$2:C$101,3,FALSE)*E591</f>
        <v>128</v>
      </c>
      <c r="G591" t="s">
        <v>407</v>
      </c>
    </row>
    <row r="592" spans="1:7" x14ac:dyDescent="0.25">
      <c r="A592" s="3">
        <v>44588</v>
      </c>
      <c r="B592" s="2" t="str">
        <f t="shared" si="9"/>
        <v>sa-27-1</v>
      </c>
      <c r="C592" t="s">
        <v>310</v>
      </c>
      <c r="D592" t="s">
        <v>76</v>
      </c>
      <c r="E592">
        <v>6</v>
      </c>
      <c r="F592" s="6">
        <f>VLOOKUP(D592,Products!A$2:C$101,3,FALSE)*E592</f>
        <v>204</v>
      </c>
      <c r="G592" t="s">
        <v>401</v>
      </c>
    </row>
    <row r="593" spans="1:7" x14ac:dyDescent="0.25">
      <c r="A593" s="3">
        <v>43943</v>
      </c>
      <c r="B593" s="2" t="str">
        <f t="shared" si="9"/>
        <v>sa-22-4</v>
      </c>
      <c r="C593" t="s">
        <v>319</v>
      </c>
      <c r="D593" t="s">
        <v>23</v>
      </c>
      <c r="E593">
        <v>4</v>
      </c>
      <c r="F593" s="6">
        <f>VLOOKUP(D593,Products!A$2:C$101,3,FALSE)*E593</f>
        <v>124</v>
      </c>
      <c r="G593" t="s">
        <v>400</v>
      </c>
    </row>
    <row r="594" spans="1:7" x14ac:dyDescent="0.25">
      <c r="A594" s="3">
        <v>44332</v>
      </c>
      <c r="B594" s="2" t="str">
        <f t="shared" si="9"/>
        <v>sa-16-5</v>
      </c>
      <c r="C594" t="s">
        <v>337</v>
      </c>
      <c r="D594" t="s">
        <v>9</v>
      </c>
      <c r="E594">
        <v>3</v>
      </c>
      <c r="F594" s="6">
        <f>VLOOKUP(D594,Products!A$2:C$101,3,FALSE)*E594</f>
        <v>240</v>
      </c>
      <c r="G594" t="s">
        <v>406</v>
      </c>
    </row>
    <row r="595" spans="1:7" x14ac:dyDescent="0.25">
      <c r="A595" s="3">
        <v>43889</v>
      </c>
      <c r="B595" s="2" t="str">
        <f t="shared" si="9"/>
        <v>sa-28-2</v>
      </c>
      <c r="C595" t="s">
        <v>335</v>
      </c>
      <c r="D595" t="s">
        <v>20</v>
      </c>
      <c r="E595">
        <v>4</v>
      </c>
      <c r="F595" s="6">
        <f>VLOOKUP(D595,Products!A$2:C$101,3,FALSE)*E595</f>
        <v>132</v>
      </c>
      <c r="G595" t="s">
        <v>399</v>
      </c>
    </row>
    <row r="596" spans="1:7" x14ac:dyDescent="0.25">
      <c r="A596" s="3">
        <v>43933</v>
      </c>
      <c r="B596" s="2" t="str">
        <f t="shared" si="9"/>
        <v>sa-12-4</v>
      </c>
      <c r="C596" t="s">
        <v>316</v>
      </c>
      <c r="D596" t="s">
        <v>21</v>
      </c>
      <c r="E596">
        <v>6</v>
      </c>
      <c r="F596" s="6">
        <f>VLOOKUP(D596,Products!A$2:C$101,3,FALSE)*E596</f>
        <v>198</v>
      </c>
      <c r="G596" t="s">
        <v>408</v>
      </c>
    </row>
    <row r="597" spans="1:7" x14ac:dyDescent="0.25">
      <c r="A597" s="3">
        <v>43938</v>
      </c>
      <c r="B597" s="2" t="str">
        <f t="shared" si="9"/>
        <v>sa-17-4</v>
      </c>
      <c r="C597" t="s">
        <v>345</v>
      </c>
      <c r="D597" t="s">
        <v>5</v>
      </c>
      <c r="E597">
        <v>6</v>
      </c>
      <c r="F597" s="6">
        <f>VLOOKUP(D597,Products!A$2:C$101,3,FALSE)*E597</f>
        <v>480</v>
      </c>
      <c r="G597" t="s">
        <v>405</v>
      </c>
    </row>
    <row r="598" spans="1:7" x14ac:dyDescent="0.25">
      <c r="A598" s="3">
        <v>44646</v>
      </c>
      <c r="B598" s="2" t="str">
        <f t="shared" si="9"/>
        <v>sa-26-3</v>
      </c>
      <c r="C598" t="s">
        <v>343</v>
      </c>
      <c r="D598" t="s">
        <v>75</v>
      </c>
      <c r="E598">
        <v>5</v>
      </c>
      <c r="F598" s="6">
        <f>VLOOKUP(D598,Products!A$2:C$101,3,FALSE)*E598</f>
        <v>170</v>
      </c>
      <c r="G598" t="s">
        <v>399</v>
      </c>
    </row>
    <row r="599" spans="1:7" x14ac:dyDescent="0.25">
      <c r="A599" s="3">
        <v>44140</v>
      </c>
      <c r="B599" s="2" t="str">
        <f t="shared" si="9"/>
        <v>sa-5-11</v>
      </c>
      <c r="C599" t="s">
        <v>313</v>
      </c>
      <c r="D599" t="s">
        <v>76</v>
      </c>
      <c r="E599">
        <v>4</v>
      </c>
      <c r="F599" s="6">
        <f>VLOOKUP(D599,Products!A$2:C$101,3,FALSE)*E599</f>
        <v>136</v>
      </c>
      <c r="G599" t="s">
        <v>407</v>
      </c>
    </row>
    <row r="600" spans="1:7" x14ac:dyDescent="0.25">
      <c r="A600" s="3">
        <v>44477</v>
      </c>
      <c r="B600" s="2" t="str">
        <f t="shared" si="9"/>
        <v>sa-8-10</v>
      </c>
      <c r="C600" t="s">
        <v>349</v>
      </c>
      <c r="D600" t="s">
        <v>35</v>
      </c>
      <c r="E600">
        <v>5</v>
      </c>
      <c r="F600" s="6">
        <f>VLOOKUP(D600,Products!A$2:C$101,3,FALSE)*E600</f>
        <v>150</v>
      </c>
      <c r="G600" t="s">
        <v>396</v>
      </c>
    </row>
    <row r="601" spans="1:7" x14ac:dyDescent="0.25">
      <c r="A601" s="3">
        <v>44256</v>
      </c>
      <c r="B601" s="2" t="str">
        <f t="shared" si="9"/>
        <v>sa-1-3</v>
      </c>
      <c r="C601" t="s">
        <v>314</v>
      </c>
      <c r="D601" t="s">
        <v>23</v>
      </c>
      <c r="E601">
        <v>3</v>
      </c>
      <c r="F601" s="6">
        <f>VLOOKUP(D601,Products!A$2:C$101,3,FALSE)*E601</f>
        <v>93</v>
      </c>
      <c r="G601" t="s">
        <v>405</v>
      </c>
    </row>
    <row r="602" spans="1:7" x14ac:dyDescent="0.25">
      <c r="A602" s="3">
        <v>44107</v>
      </c>
      <c r="B602" s="2" t="str">
        <f t="shared" si="9"/>
        <v>sa-3-10</v>
      </c>
      <c r="C602" t="s">
        <v>350</v>
      </c>
      <c r="D602" t="s">
        <v>68</v>
      </c>
      <c r="E602">
        <v>3</v>
      </c>
      <c r="F602" s="6">
        <f>VLOOKUP(D602,Products!A$2:C$101,3,FALSE)*E602</f>
        <v>96</v>
      </c>
      <c r="G602" t="s">
        <v>395</v>
      </c>
    </row>
    <row r="603" spans="1:7" x14ac:dyDescent="0.25">
      <c r="A603" s="3">
        <v>44511</v>
      </c>
      <c r="B603" s="2" t="str">
        <f t="shared" si="9"/>
        <v>sa-11-11</v>
      </c>
      <c r="C603" t="s">
        <v>343</v>
      </c>
      <c r="D603" t="s">
        <v>6</v>
      </c>
      <c r="E603">
        <v>3</v>
      </c>
      <c r="F603" s="6">
        <f>VLOOKUP(D603,Products!A$2:C$101,3,FALSE)*E603</f>
        <v>207</v>
      </c>
      <c r="G603" t="s">
        <v>406</v>
      </c>
    </row>
    <row r="604" spans="1:7" x14ac:dyDescent="0.25">
      <c r="A604" s="3">
        <v>43935</v>
      </c>
      <c r="B604" s="2" t="str">
        <f t="shared" si="9"/>
        <v>sa-14-4</v>
      </c>
      <c r="C604" t="s">
        <v>354</v>
      </c>
      <c r="D604" t="s">
        <v>34</v>
      </c>
      <c r="E604">
        <v>6</v>
      </c>
      <c r="F604" s="6">
        <f>VLOOKUP(D604,Products!A$2:C$101,3,FALSE)*E604</f>
        <v>210</v>
      </c>
      <c r="G604" t="s">
        <v>398</v>
      </c>
    </row>
    <row r="605" spans="1:7" x14ac:dyDescent="0.25">
      <c r="A605" s="3">
        <v>44704</v>
      </c>
      <c r="B605" s="2" t="str">
        <f t="shared" si="9"/>
        <v>sa-23-5</v>
      </c>
      <c r="C605" t="s">
        <v>331</v>
      </c>
      <c r="D605" t="s">
        <v>96</v>
      </c>
      <c r="E605">
        <v>3</v>
      </c>
      <c r="F605" s="6">
        <f>VLOOKUP(D605,Products!A$2:C$101,3,FALSE)*E605</f>
        <v>30</v>
      </c>
      <c r="G605" t="s">
        <v>404</v>
      </c>
    </row>
    <row r="606" spans="1:7" x14ac:dyDescent="0.25">
      <c r="A606" s="3">
        <v>44693</v>
      </c>
      <c r="B606" s="2" t="str">
        <f t="shared" si="9"/>
        <v>sa-12-5</v>
      </c>
      <c r="C606" t="s">
        <v>310</v>
      </c>
      <c r="D606" t="s">
        <v>19</v>
      </c>
      <c r="E606">
        <v>2</v>
      </c>
      <c r="F606" s="6">
        <f>VLOOKUP(D606,Products!A$2:C$101,3,FALSE)*E606</f>
        <v>66</v>
      </c>
      <c r="G606" t="s">
        <v>397</v>
      </c>
    </row>
    <row r="607" spans="1:7" x14ac:dyDescent="0.25">
      <c r="A607" s="3">
        <v>44625</v>
      </c>
      <c r="B607" s="2" t="str">
        <f t="shared" si="9"/>
        <v>sa-5-3</v>
      </c>
      <c r="C607" t="s">
        <v>337</v>
      </c>
      <c r="D607" t="s">
        <v>95</v>
      </c>
      <c r="E607">
        <v>3</v>
      </c>
      <c r="F607" s="6">
        <f>VLOOKUP(D607,Products!A$2:C$101,3,FALSE)*E607</f>
        <v>36</v>
      </c>
      <c r="G607" t="s">
        <v>403</v>
      </c>
    </row>
    <row r="608" spans="1:7" x14ac:dyDescent="0.25">
      <c r="A608" s="3">
        <v>44368</v>
      </c>
      <c r="B608" s="2" t="str">
        <f t="shared" si="9"/>
        <v>sa-21-6</v>
      </c>
      <c r="C608" t="s">
        <v>319</v>
      </c>
      <c r="D608" t="s">
        <v>97</v>
      </c>
      <c r="E608">
        <v>2</v>
      </c>
      <c r="F608" s="6">
        <f>VLOOKUP(D608,Products!A$2:C$101,3,FALSE)*E608</f>
        <v>20</v>
      </c>
      <c r="G608" t="s">
        <v>403</v>
      </c>
    </row>
    <row r="609" spans="1:7" x14ac:dyDescent="0.25">
      <c r="A609" s="3">
        <v>44267</v>
      </c>
      <c r="B609" s="2" t="str">
        <f t="shared" si="9"/>
        <v>sa-12-3</v>
      </c>
      <c r="C609" t="s">
        <v>349</v>
      </c>
      <c r="D609" t="s">
        <v>20</v>
      </c>
      <c r="E609">
        <v>3</v>
      </c>
      <c r="F609" s="6">
        <f>VLOOKUP(D609,Products!A$2:C$101,3,FALSE)*E609</f>
        <v>99</v>
      </c>
      <c r="G609" t="s">
        <v>405</v>
      </c>
    </row>
    <row r="610" spans="1:7" x14ac:dyDescent="0.25">
      <c r="A610" s="3">
        <v>43912</v>
      </c>
      <c r="B610" s="2" t="str">
        <f t="shared" si="9"/>
        <v>sa-22-3</v>
      </c>
      <c r="C610" t="s">
        <v>319</v>
      </c>
      <c r="D610" t="s">
        <v>63</v>
      </c>
      <c r="E610">
        <v>6</v>
      </c>
      <c r="F610" s="6">
        <f>VLOOKUP(D610,Products!A$2:C$101,3,FALSE)*E610</f>
        <v>198</v>
      </c>
      <c r="G610" t="s">
        <v>403</v>
      </c>
    </row>
    <row r="611" spans="1:7" x14ac:dyDescent="0.25">
      <c r="A611" s="3">
        <v>44493</v>
      </c>
      <c r="B611" s="2" t="str">
        <f t="shared" si="9"/>
        <v>sa-24-10</v>
      </c>
      <c r="C611" t="s">
        <v>343</v>
      </c>
      <c r="D611" t="s">
        <v>57</v>
      </c>
      <c r="E611">
        <v>4</v>
      </c>
      <c r="F611" s="6">
        <f>VLOOKUP(D611,Products!A$2:C$101,3,FALSE)*E611</f>
        <v>140</v>
      </c>
      <c r="G611" t="s">
        <v>406</v>
      </c>
    </row>
    <row r="612" spans="1:7" x14ac:dyDescent="0.25">
      <c r="A612" s="3">
        <v>43857</v>
      </c>
      <c r="B612" s="2" t="str">
        <f t="shared" si="9"/>
        <v>sa-27-1</v>
      </c>
      <c r="C612" t="s">
        <v>325</v>
      </c>
      <c r="D612" t="s">
        <v>16</v>
      </c>
      <c r="E612">
        <v>5</v>
      </c>
      <c r="F612" s="6">
        <f>VLOOKUP(D612,Products!A$2:C$101,3,FALSE)*E612</f>
        <v>150</v>
      </c>
      <c r="G612" t="s">
        <v>404</v>
      </c>
    </row>
    <row r="613" spans="1:7" x14ac:dyDescent="0.25">
      <c r="A613" s="3">
        <v>44445</v>
      </c>
      <c r="B613" s="2" t="str">
        <f t="shared" si="9"/>
        <v>sa-6-9</v>
      </c>
      <c r="C613" t="s">
        <v>329</v>
      </c>
      <c r="D613" t="s">
        <v>63</v>
      </c>
      <c r="E613">
        <v>2</v>
      </c>
      <c r="F613" s="6">
        <f>VLOOKUP(D613,Products!A$2:C$101,3,FALSE)*E613</f>
        <v>66</v>
      </c>
      <c r="G613" t="s">
        <v>396</v>
      </c>
    </row>
    <row r="614" spans="1:7" x14ac:dyDescent="0.25">
      <c r="A614" s="3">
        <v>44696</v>
      </c>
      <c r="B614" s="2" t="str">
        <f t="shared" si="9"/>
        <v>sa-15-5</v>
      </c>
      <c r="C614" t="s">
        <v>310</v>
      </c>
      <c r="D614" t="s">
        <v>8</v>
      </c>
      <c r="E614">
        <v>3</v>
      </c>
      <c r="F614" s="6">
        <f>VLOOKUP(D614,Products!A$2:C$101,3,FALSE)*E614</f>
        <v>189</v>
      </c>
      <c r="G614" t="s">
        <v>405</v>
      </c>
    </row>
    <row r="615" spans="1:7" x14ac:dyDescent="0.25">
      <c r="A615" s="3">
        <v>44741</v>
      </c>
      <c r="B615" s="2" t="str">
        <f t="shared" si="9"/>
        <v>sa-29-6</v>
      </c>
      <c r="C615" t="s">
        <v>342</v>
      </c>
      <c r="D615" t="s">
        <v>96</v>
      </c>
      <c r="E615">
        <v>6</v>
      </c>
      <c r="F615" s="6">
        <f>VLOOKUP(D615,Products!A$2:C$101,3,FALSE)*E615</f>
        <v>60</v>
      </c>
      <c r="G615" t="s">
        <v>407</v>
      </c>
    </row>
    <row r="616" spans="1:7" x14ac:dyDescent="0.25">
      <c r="A616" s="3">
        <v>44533</v>
      </c>
      <c r="B616" s="2" t="str">
        <f t="shared" si="9"/>
        <v>sa-3-12</v>
      </c>
      <c r="C616" t="s">
        <v>349</v>
      </c>
      <c r="D616" t="s">
        <v>9</v>
      </c>
      <c r="E616">
        <v>6</v>
      </c>
      <c r="F616" s="6">
        <f>VLOOKUP(D616,Products!A$2:C$101,3,FALSE)*E616</f>
        <v>480</v>
      </c>
      <c r="G616" t="s">
        <v>403</v>
      </c>
    </row>
    <row r="617" spans="1:7" x14ac:dyDescent="0.25">
      <c r="A617" s="3">
        <v>44522</v>
      </c>
      <c r="B617" s="2" t="str">
        <f t="shared" si="9"/>
        <v>sa-22-11</v>
      </c>
      <c r="C617" t="s">
        <v>309</v>
      </c>
      <c r="D617" t="s">
        <v>82</v>
      </c>
      <c r="E617">
        <v>2</v>
      </c>
      <c r="F617" s="6">
        <f>VLOOKUP(D617,Products!A$2:C$101,3,FALSE)*E617</f>
        <v>64</v>
      </c>
      <c r="G617" t="s">
        <v>400</v>
      </c>
    </row>
    <row r="618" spans="1:7" x14ac:dyDescent="0.25">
      <c r="A618" s="3">
        <v>44134</v>
      </c>
      <c r="B618" s="2" t="str">
        <f t="shared" si="9"/>
        <v>sa-30-10</v>
      </c>
      <c r="C618" t="s">
        <v>309</v>
      </c>
      <c r="D618" t="s">
        <v>41</v>
      </c>
      <c r="E618">
        <v>5</v>
      </c>
      <c r="F618" s="6">
        <f>VLOOKUP(D618,Products!A$2:C$101,3,FALSE)*E618</f>
        <v>165</v>
      </c>
      <c r="G618" t="s">
        <v>406</v>
      </c>
    </row>
    <row r="619" spans="1:7" x14ac:dyDescent="0.25">
      <c r="A619" s="3">
        <v>44274</v>
      </c>
      <c r="B619" s="2" t="str">
        <f t="shared" si="9"/>
        <v>sa-19-3</v>
      </c>
      <c r="C619" t="s">
        <v>327</v>
      </c>
      <c r="D619" t="s">
        <v>13</v>
      </c>
      <c r="E619">
        <v>5</v>
      </c>
      <c r="F619" s="6">
        <f>VLOOKUP(D619,Products!A$2:C$101,3,FALSE)*E619</f>
        <v>355</v>
      </c>
      <c r="G619" t="s">
        <v>406</v>
      </c>
    </row>
    <row r="620" spans="1:7" x14ac:dyDescent="0.25">
      <c r="A620" s="3">
        <v>44515</v>
      </c>
      <c r="B620" s="2" t="str">
        <f t="shared" si="9"/>
        <v>sa-15-11</v>
      </c>
      <c r="C620" t="s">
        <v>353</v>
      </c>
      <c r="D620" t="s">
        <v>31</v>
      </c>
      <c r="E620">
        <v>5</v>
      </c>
      <c r="F620" s="6">
        <f>VLOOKUP(D620,Products!A$2:C$101,3,FALSE)*E620</f>
        <v>160</v>
      </c>
      <c r="G620" t="s">
        <v>396</v>
      </c>
    </row>
    <row r="621" spans="1:7" x14ac:dyDescent="0.25">
      <c r="A621" s="3">
        <v>43976</v>
      </c>
      <c r="B621" s="2" t="str">
        <f t="shared" si="9"/>
        <v>sa-25-5</v>
      </c>
      <c r="C621" t="s">
        <v>319</v>
      </c>
      <c r="D621" t="s">
        <v>27</v>
      </c>
      <c r="E621">
        <v>6</v>
      </c>
      <c r="F621" s="6">
        <f>VLOOKUP(D621,Products!A$2:C$101,3,FALSE)*E621</f>
        <v>204</v>
      </c>
      <c r="G621" t="s">
        <v>408</v>
      </c>
    </row>
    <row r="622" spans="1:7" x14ac:dyDescent="0.25">
      <c r="A622" s="3">
        <v>43929</v>
      </c>
      <c r="B622" s="2" t="str">
        <f t="shared" si="9"/>
        <v>sa-8-4</v>
      </c>
      <c r="C622" t="s">
        <v>320</v>
      </c>
      <c r="D622" t="s">
        <v>34</v>
      </c>
      <c r="E622">
        <v>4</v>
      </c>
      <c r="F622" s="6">
        <f>VLOOKUP(D622,Products!A$2:C$101,3,FALSE)*E622</f>
        <v>140</v>
      </c>
      <c r="G622" t="s">
        <v>406</v>
      </c>
    </row>
    <row r="623" spans="1:7" x14ac:dyDescent="0.25">
      <c r="A623" s="3">
        <v>44326</v>
      </c>
      <c r="B623" s="2" t="str">
        <f t="shared" si="9"/>
        <v>sa-10-5</v>
      </c>
      <c r="C623" t="s">
        <v>350</v>
      </c>
      <c r="D623" t="s">
        <v>59</v>
      </c>
      <c r="E623">
        <v>2</v>
      </c>
      <c r="F623" s="6">
        <f>VLOOKUP(D623,Products!A$2:C$101,3,FALSE)*E623</f>
        <v>70</v>
      </c>
      <c r="G623" t="s">
        <v>402</v>
      </c>
    </row>
    <row r="624" spans="1:7" x14ac:dyDescent="0.25">
      <c r="A624" s="3">
        <v>44214</v>
      </c>
      <c r="B624" s="2" t="str">
        <f t="shared" si="9"/>
        <v>sa-18-1</v>
      </c>
      <c r="C624" t="s">
        <v>339</v>
      </c>
      <c r="D624" t="s">
        <v>77</v>
      </c>
      <c r="E624">
        <v>3</v>
      </c>
      <c r="F624" s="6">
        <f>VLOOKUP(D624,Products!A$2:C$101,3,FALSE)*E624</f>
        <v>102</v>
      </c>
      <c r="G624" t="s">
        <v>405</v>
      </c>
    </row>
    <row r="625" spans="1:7" x14ac:dyDescent="0.25">
      <c r="A625" s="3">
        <v>44357</v>
      </c>
      <c r="B625" s="2" t="str">
        <f t="shared" si="9"/>
        <v>sa-10-6</v>
      </c>
      <c r="C625" t="s">
        <v>355</v>
      </c>
      <c r="D625" t="s">
        <v>47</v>
      </c>
      <c r="E625">
        <v>5</v>
      </c>
      <c r="F625" s="6">
        <f>VLOOKUP(D625,Products!A$2:C$101,3,FALSE)*E625</f>
        <v>160</v>
      </c>
      <c r="G625" t="s">
        <v>404</v>
      </c>
    </row>
    <row r="626" spans="1:7" x14ac:dyDescent="0.25">
      <c r="A626" s="3">
        <v>44213</v>
      </c>
      <c r="B626" s="2" t="str">
        <f t="shared" si="9"/>
        <v>sa-17-1</v>
      </c>
      <c r="C626" t="s">
        <v>333</v>
      </c>
      <c r="D626" t="s">
        <v>70</v>
      </c>
      <c r="E626">
        <v>5</v>
      </c>
      <c r="F626" s="6">
        <f>VLOOKUP(D626,Products!A$2:C$101,3,FALSE)*E626</f>
        <v>175</v>
      </c>
      <c r="G626" t="s">
        <v>398</v>
      </c>
    </row>
    <row r="627" spans="1:7" x14ac:dyDescent="0.25">
      <c r="A627" s="3">
        <v>44189</v>
      </c>
      <c r="B627" s="2" t="str">
        <f t="shared" si="9"/>
        <v>sa-24-12</v>
      </c>
      <c r="C627" t="s">
        <v>346</v>
      </c>
      <c r="D627" t="s">
        <v>70</v>
      </c>
      <c r="E627">
        <v>4</v>
      </c>
      <c r="F627" s="6">
        <f>VLOOKUP(D627,Products!A$2:C$101,3,FALSE)*E627</f>
        <v>140</v>
      </c>
      <c r="G627" t="s">
        <v>399</v>
      </c>
    </row>
    <row r="628" spans="1:7" x14ac:dyDescent="0.25">
      <c r="A628" s="3">
        <v>44656</v>
      </c>
      <c r="B628" s="2" t="str">
        <f t="shared" si="9"/>
        <v>sa-5-4</v>
      </c>
      <c r="C628" t="s">
        <v>330</v>
      </c>
      <c r="D628" t="s">
        <v>60</v>
      </c>
      <c r="E628">
        <v>3</v>
      </c>
      <c r="F628" s="6">
        <f>VLOOKUP(D628,Products!A$2:C$101,3,FALSE)*E628</f>
        <v>90</v>
      </c>
      <c r="G628" t="s">
        <v>398</v>
      </c>
    </row>
    <row r="629" spans="1:7" x14ac:dyDescent="0.25">
      <c r="A629" s="3">
        <v>43881</v>
      </c>
      <c r="B629" s="2" t="str">
        <f t="shared" si="9"/>
        <v>sa-20-2</v>
      </c>
      <c r="C629" t="s">
        <v>328</v>
      </c>
      <c r="D629" t="s">
        <v>92</v>
      </c>
      <c r="E629">
        <v>4</v>
      </c>
      <c r="F629" s="6">
        <f>VLOOKUP(D629,Products!A$2:C$101,3,FALSE)*E629</f>
        <v>56</v>
      </c>
      <c r="G629" t="s">
        <v>408</v>
      </c>
    </row>
    <row r="630" spans="1:7" x14ac:dyDescent="0.25">
      <c r="A630" s="3">
        <v>44292</v>
      </c>
      <c r="B630" s="2" t="str">
        <f t="shared" si="9"/>
        <v>sa-6-4</v>
      </c>
      <c r="C630" t="s">
        <v>350</v>
      </c>
      <c r="D630" t="s">
        <v>41</v>
      </c>
      <c r="E630">
        <v>6</v>
      </c>
      <c r="F630" s="6">
        <f>VLOOKUP(D630,Products!A$2:C$101,3,FALSE)*E630</f>
        <v>198</v>
      </c>
      <c r="G630" t="s">
        <v>401</v>
      </c>
    </row>
    <row r="631" spans="1:7" x14ac:dyDescent="0.25">
      <c r="A631" s="3">
        <v>44713</v>
      </c>
      <c r="B631" s="2" t="str">
        <f t="shared" si="9"/>
        <v>sa-1-6</v>
      </c>
      <c r="C631" t="s">
        <v>330</v>
      </c>
      <c r="D631" t="s">
        <v>78</v>
      </c>
      <c r="E631">
        <v>6</v>
      </c>
      <c r="F631" s="6">
        <f>VLOOKUP(D631,Products!A$2:C$101,3,FALSE)*E631</f>
        <v>204</v>
      </c>
      <c r="G631" t="s">
        <v>401</v>
      </c>
    </row>
    <row r="632" spans="1:7" x14ac:dyDescent="0.25">
      <c r="A632" s="3">
        <v>44132</v>
      </c>
      <c r="B632" s="2" t="str">
        <f t="shared" si="9"/>
        <v>sa-28-10</v>
      </c>
      <c r="C632" t="s">
        <v>315</v>
      </c>
      <c r="D632" t="s">
        <v>21</v>
      </c>
      <c r="E632">
        <v>2</v>
      </c>
      <c r="F632" s="6">
        <f>VLOOKUP(D632,Products!A$2:C$101,3,FALSE)*E632</f>
        <v>66</v>
      </c>
      <c r="G632" t="s">
        <v>398</v>
      </c>
    </row>
    <row r="633" spans="1:7" x14ac:dyDescent="0.25">
      <c r="A633" s="3">
        <v>44686</v>
      </c>
      <c r="B633" s="2" t="str">
        <f t="shared" si="9"/>
        <v>sa-5-5</v>
      </c>
      <c r="C633" t="s">
        <v>322</v>
      </c>
      <c r="D633" t="s">
        <v>57</v>
      </c>
      <c r="E633">
        <v>5</v>
      </c>
      <c r="F633" s="6">
        <f>VLOOKUP(D633,Products!A$2:C$101,3,FALSE)*E633</f>
        <v>175</v>
      </c>
      <c r="G633" t="s">
        <v>397</v>
      </c>
    </row>
    <row r="634" spans="1:7" x14ac:dyDescent="0.25">
      <c r="A634" s="3">
        <v>44074</v>
      </c>
      <c r="B634" s="2" t="str">
        <f t="shared" si="9"/>
        <v>sa-31-8</v>
      </c>
      <c r="C634" t="s">
        <v>348</v>
      </c>
      <c r="D634" t="s">
        <v>5</v>
      </c>
      <c r="E634">
        <v>5</v>
      </c>
      <c r="F634" s="6">
        <f>VLOOKUP(D634,Products!A$2:C$101,3,FALSE)*E634</f>
        <v>400</v>
      </c>
      <c r="G634" t="s">
        <v>396</v>
      </c>
    </row>
    <row r="635" spans="1:7" x14ac:dyDescent="0.25">
      <c r="A635" s="3">
        <v>44140</v>
      </c>
      <c r="B635" s="2" t="str">
        <f t="shared" si="9"/>
        <v>sa-5-11</v>
      </c>
      <c r="C635" t="s">
        <v>313</v>
      </c>
      <c r="D635" t="s">
        <v>44</v>
      </c>
      <c r="E635">
        <v>4</v>
      </c>
      <c r="F635" s="6">
        <f>VLOOKUP(D635,Products!A$2:C$101,3,FALSE)*E635</f>
        <v>124</v>
      </c>
      <c r="G635" t="s">
        <v>400</v>
      </c>
    </row>
    <row r="636" spans="1:7" x14ac:dyDescent="0.25">
      <c r="A636" s="3">
        <v>44644</v>
      </c>
      <c r="B636" s="2" t="str">
        <f t="shared" si="9"/>
        <v>sa-24-3</v>
      </c>
      <c r="C636" t="s">
        <v>345</v>
      </c>
      <c r="D636" t="s">
        <v>3</v>
      </c>
      <c r="E636">
        <v>6</v>
      </c>
      <c r="F636" s="6">
        <f>VLOOKUP(D636,Products!A$2:C$101,3,FALSE)*E636</f>
        <v>444</v>
      </c>
      <c r="G636" t="s">
        <v>402</v>
      </c>
    </row>
    <row r="637" spans="1:7" x14ac:dyDescent="0.25">
      <c r="A637" s="3">
        <v>44297</v>
      </c>
      <c r="B637" s="2" t="str">
        <f t="shared" si="9"/>
        <v>sa-11-4</v>
      </c>
      <c r="C637" t="s">
        <v>344</v>
      </c>
      <c r="D637" t="s">
        <v>37</v>
      </c>
      <c r="E637">
        <v>6</v>
      </c>
      <c r="F637" s="6">
        <f>VLOOKUP(D637,Products!A$2:C$101,3,FALSE)*E637</f>
        <v>198</v>
      </c>
      <c r="G637" t="s">
        <v>405</v>
      </c>
    </row>
    <row r="638" spans="1:7" x14ac:dyDescent="0.25">
      <c r="A638" s="3">
        <v>44623</v>
      </c>
      <c r="B638" s="2" t="str">
        <f t="shared" si="9"/>
        <v>sa-3-3</v>
      </c>
      <c r="C638" t="s">
        <v>307</v>
      </c>
      <c r="D638" t="s">
        <v>80</v>
      </c>
      <c r="E638">
        <v>5</v>
      </c>
      <c r="F638" s="6">
        <f>VLOOKUP(D638,Products!A$2:C$101,3,FALSE)*E638</f>
        <v>155</v>
      </c>
      <c r="G638" t="s">
        <v>399</v>
      </c>
    </row>
    <row r="639" spans="1:7" x14ac:dyDescent="0.25">
      <c r="A639" s="3">
        <v>44297</v>
      </c>
      <c r="B639" s="2" t="str">
        <f t="shared" si="9"/>
        <v>sa-11-4</v>
      </c>
      <c r="C639" t="s">
        <v>309</v>
      </c>
      <c r="D639" t="s">
        <v>30</v>
      </c>
      <c r="E639">
        <v>6</v>
      </c>
      <c r="F639" s="6">
        <f>VLOOKUP(D639,Products!A$2:C$101,3,FALSE)*E639</f>
        <v>210</v>
      </c>
      <c r="G639" t="s">
        <v>403</v>
      </c>
    </row>
    <row r="640" spans="1:7" x14ac:dyDescent="0.25">
      <c r="A640" s="3">
        <v>44471</v>
      </c>
      <c r="B640" s="2" t="str">
        <f t="shared" si="9"/>
        <v>sa-2-10</v>
      </c>
      <c r="C640" t="s">
        <v>318</v>
      </c>
      <c r="D640" t="s">
        <v>50</v>
      </c>
      <c r="E640">
        <v>5</v>
      </c>
      <c r="F640" s="6">
        <f>VLOOKUP(D640,Products!A$2:C$101,3,FALSE)*E640</f>
        <v>160</v>
      </c>
      <c r="G640" t="s">
        <v>408</v>
      </c>
    </row>
    <row r="641" spans="1:7" x14ac:dyDescent="0.25">
      <c r="A641" s="3">
        <v>44135</v>
      </c>
      <c r="B641" s="2" t="str">
        <f t="shared" si="9"/>
        <v>sa-31-10</v>
      </c>
      <c r="C641" t="s">
        <v>338</v>
      </c>
      <c r="D641" t="s">
        <v>80</v>
      </c>
      <c r="E641">
        <v>6</v>
      </c>
      <c r="F641" s="6">
        <f>VLOOKUP(D641,Products!A$2:C$101,3,FALSE)*E641</f>
        <v>186</v>
      </c>
      <c r="G641" t="s">
        <v>404</v>
      </c>
    </row>
    <row r="642" spans="1:7" x14ac:dyDescent="0.25">
      <c r="A642" s="3">
        <v>44649</v>
      </c>
      <c r="B642" s="2" t="str">
        <f t="shared" si="9"/>
        <v>sa-29-3</v>
      </c>
      <c r="C642" t="s">
        <v>350</v>
      </c>
      <c r="D642" t="s">
        <v>87</v>
      </c>
      <c r="E642">
        <v>5</v>
      </c>
      <c r="F642" s="6">
        <f>VLOOKUP(D642,Products!A$2:C$101,3,FALSE)*E642</f>
        <v>65</v>
      </c>
      <c r="G642" t="s">
        <v>404</v>
      </c>
    </row>
    <row r="643" spans="1:7" x14ac:dyDescent="0.25">
      <c r="A643" s="3">
        <v>44206</v>
      </c>
      <c r="B643" s="2" t="str">
        <f t="shared" ref="B643:B706" si="10">"sa-"&amp;DAY(A643)&amp;"-"&amp;MONTH(A643)</f>
        <v>sa-10-1</v>
      </c>
      <c r="C643" t="s">
        <v>315</v>
      </c>
      <c r="D643" t="s">
        <v>8</v>
      </c>
      <c r="E643">
        <v>3</v>
      </c>
      <c r="F643" s="6">
        <f>VLOOKUP(D643,Products!A$2:C$101,3,FALSE)*E643</f>
        <v>189</v>
      </c>
      <c r="G643" t="s">
        <v>406</v>
      </c>
    </row>
    <row r="644" spans="1:7" x14ac:dyDescent="0.25">
      <c r="A644" s="3">
        <v>44094</v>
      </c>
      <c r="B644" s="2" t="str">
        <f t="shared" si="10"/>
        <v>sa-20-9</v>
      </c>
      <c r="C644" t="s">
        <v>330</v>
      </c>
      <c r="D644" t="s">
        <v>66</v>
      </c>
      <c r="E644">
        <v>4</v>
      </c>
      <c r="F644" s="6">
        <f>VLOOKUP(D644,Products!A$2:C$101,3,FALSE)*E644</f>
        <v>120</v>
      </c>
      <c r="G644" t="s">
        <v>406</v>
      </c>
    </row>
    <row r="645" spans="1:7" x14ac:dyDescent="0.25">
      <c r="A645" s="3">
        <v>44158</v>
      </c>
      <c r="B645" s="2" t="str">
        <f t="shared" si="10"/>
        <v>sa-23-11</v>
      </c>
      <c r="C645" t="s">
        <v>323</v>
      </c>
      <c r="D645" t="s">
        <v>29</v>
      </c>
      <c r="E645">
        <v>4</v>
      </c>
      <c r="F645" s="6">
        <f>VLOOKUP(D645,Products!A$2:C$101,3,FALSE)*E645</f>
        <v>124</v>
      </c>
      <c r="G645" t="s">
        <v>396</v>
      </c>
    </row>
    <row r="646" spans="1:7" x14ac:dyDescent="0.25">
      <c r="A646" s="3">
        <v>44077</v>
      </c>
      <c r="B646" s="2" t="str">
        <f t="shared" si="10"/>
        <v>sa-3-9</v>
      </c>
      <c r="C646" t="s">
        <v>308</v>
      </c>
      <c r="D646" t="s">
        <v>59</v>
      </c>
      <c r="E646">
        <v>2</v>
      </c>
      <c r="F646" s="6">
        <f>VLOOKUP(D646,Products!A$2:C$101,3,FALSE)*E646</f>
        <v>70</v>
      </c>
      <c r="G646" t="s">
        <v>401</v>
      </c>
    </row>
    <row r="647" spans="1:7" x14ac:dyDescent="0.25">
      <c r="A647" s="3">
        <v>44505</v>
      </c>
      <c r="B647" s="2" t="str">
        <f t="shared" si="10"/>
        <v>sa-5-11</v>
      </c>
      <c r="C647" t="s">
        <v>321</v>
      </c>
      <c r="D647" t="s">
        <v>50</v>
      </c>
      <c r="E647">
        <v>2</v>
      </c>
      <c r="F647" s="6">
        <f>VLOOKUP(D647,Products!A$2:C$101,3,FALSE)*E647</f>
        <v>64</v>
      </c>
      <c r="G647" t="s">
        <v>408</v>
      </c>
    </row>
    <row r="648" spans="1:7" x14ac:dyDescent="0.25">
      <c r="A648" s="3">
        <v>44295</v>
      </c>
      <c r="B648" s="2" t="str">
        <f t="shared" si="10"/>
        <v>sa-9-4</v>
      </c>
      <c r="C648" t="s">
        <v>326</v>
      </c>
      <c r="D648" t="s">
        <v>78</v>
      </c>
      <c r="E648">
        <v>6</v>
      </c>
      <c r="F648" s="6">
        <f>VLOOKUP(D648,Products!A$2:C$101,3,FALSE)*E648</f>
        <v>204</v>
      </c>
      <c r="G648" t="s">
        <v>395</v>
      </c>
    </row>
    <row r="649" spans="1:7" x14ac:dyDescent="0.25">
      <c r="A649" s="3">
        <v>44697</v>
      </c>
      <c r="B649" s="2" t="str">
        <f t="shared" si="10"/>
        <v>sa-16-5</v>
      </c>
      <c r="C649" t="s">
        <v>341</v>
      </c>
      <c r="D649" t="s">
        <v>39</v>
      </c>
      <c r="E649">
        <v>6</v>
      </c>
      <c r="F649" s="6">
        <f>VLOOKUP(D649,Products!A$2:C$101,3,FALSE)*E649</f>
        <v>192</v>
      </c>
      <c r="G649" t="s">
        <v>398</v>
      </c>
    </row>
    <row r="650" spans="1:7" x14ac:dyDescent="0.25">
      <c r="A650" s="3">
        <v>44725</v>
      </c>
      <c r="B650" s="2" t="str">
        <f t="shared" si="10"/>
        <v>sa-13-6</v>
      </c>
      <c r="C650" t="s">
        <v>324</v>
      </c>
      <c r="D650" t="s">
        <v>38</v>
      </c>
      <c r="E650">
        <v>6</v>
      </c>
      <c r="F650" s="6">
        <f>VLOOKUP(D650,Products!A$2:C$101,3,FALSE)*E650</f>
        <v>192</v>
      </c>
      <c r="G650" t="s">
        <v>398</v>
      </c>
    </row>
    <row r="651" spans="1:7" x14ac:dyDescent="0.25">
      <c r="A651" s="3">
        <v>44723</v>
      </c>
      <c r="B651" s="2" t="str">
        <f t="shared" si="10"/>
        <v>sa-11-6</v>
      </c>
      <c r="C651" t="s">
        <v>338</v>
      </c>
      <c r="D651" t="s">
        <v>59</v>
      </c>
      <c r="E651">
        <v>5</v>
      </c>
      <c r="F651" s="6">
        <f>VLOOKUP(D651,Products!A$2:C$101,3,FALSE)*E651</f>
        <v>175</v>
      </c>
      <c r="G651" t="s">
        <v>406</v>
      </c>
    </row>
    <row r="652" spans="1:7" x14ac:dyDescent="0.25">
      <c r="A652" s="3">
        <v>43927</v>
      </c>
      <c r="B652" s="2" t="str">
        <f t="shared" si="10"/>
        <v>sa-6-4</v>
      </c>
      <c r="C652" t="s">
        <v>324</v>
      </c>
      <c r="D652" t="s">
        <v>23</v>
      </c>
      <c r="E652">
        <v>5</v>
      </c>
      <c r="F652" s="6">
        <f>VLOOKUP(D652,Products!A$2:C$101,3,FALSE)*E652</f>
        <v>155</v>
      </c>
      <c r="G652" t="s">
        <v>403</v>
      </c>
    </row>
    <row r="653" spans="1:7" x14ac:dyDescent="0.25">
      <c r="A653" s="3">
        <v>44291</v>
      </c>
      <c r="B653" s="2" t="str">
        <f t="shared" si="10"/>
        <v>sa-5-4</v>
      </c>
      <c r="C653" t="s">
        <v>314</v>
      </c>
      <c r="D653" t="s">
        <v>83</v>
      </c>
      <c r="E653">
        <v>2</v>
      </c>
      <c r="F653" s="6">
        <f>VLOOKUP(D653,Products!A$2:C$101,3,FALSE)*E653</f>
        <v>60</v>
      </c>
      <c r="G653" t="s">
        <v>401</v>
      </c>
    </row>
    <row r="654" spans="1:7" x14ac:dyDescent="0.25">
      <c r="A654" s="3">
        <v>44354</v>
      </c>
      <c r="B654" s="2" t="str">
        <f t="shared" si="10"/>
        <v>sa-7-6</v>
      </c>
      <c r="C654" t="s">
        <v>327</v>
      </c>
      <c r="D654" t="s">
        <v>63</v>
      </c>
      <c r="E654">
        <v>6</v>
      </c>
      <c r="F654" s="6">
        <f>VLOOKUP(D654,Products!A$2:C$101,3,FALSE)*E654</f>
        <v>198</v>
      </c>
      <c r="G654" t="s">
        <v>407</v>
      </c>
    </row>
    <row r="655" spans="1:7" x14ac:dyDescent="0.25">
      <c r="A655" s="3">
        <v>44388</v>
      </c>
      <c r="B655" s="2" t="str">
        <f t="shared" si="10"/>
        <v>sa-11-7</v>
      </c>
      <c r="C655" t="s">
        <v>318</v>
      </c>
      <c r="D655" t="s">
        <v>33</v>
      </c>
      <c r="E655">
        <v>4</v>
      </c>
      <c r="F655" s="6">
        <f>VLOOKUP(D655,Products!A$2:C$101,3,FALSE)*E655</f>
        <v>132</v>
      </c>
      <c r="G655" t="s">
        <v>400</v>
      </c>
    </row>
    <row r="656" spans="1:7" x14ac:dyDescent="0.25">
      <c r="A656" s="3">
        <v>43945</v>
      </c>
      <c r="B656" s="2" t="str">
        <f t="shared" si="10"/>
        <v>sa-24-4</v>
      </c>
      <c r="C656" t="s">
        <v>310</v>
      </c>
      <c r="D656" t="s">
        <v>99</v>
      </c>
      <c r="E656">
        <v>6</v>
      </c>
      <c r="F656" s="6">
        <f>VLOOKUP(D656,Products!A$2:C$101,3,FALSE)*E656</f>
        <v>90</v>
      </c>
      <c r="G656" t="s">
        <v>408</v>
      </c>
    </row>
    <row r="657" spans="1:7" x14ac:dyDescent="0.25">
      <c r="A657" s="3">
        <v>44478</v>
      </c>
      <c r="B657" s="2" t="str">
        <f t="shared" si="10"/>
        <v>sa-9-10</v>
      </c>
      <c r="C657" t="s">
        <v>329</v>
      </c>
      <c r="D657" t="s">
        <v>48</v>
      </c>
      <c r="E657">
        <v>4</v>
      </c>
      <c r="F657" s="6">
        <f>VLOOKUP(D657,Products!A$2:C$101,3,FALSE)*E657</f>
        <v>132</v>
      </c>
      <c r="G657" t="s">
        <v>407</v>
      </c>
    </row>
    <row r="658" spans="1:7" x14ac:dyDescent="0.25">
      <c r="A658" s="3">
        <v>44277</v>
      </c>
      <c r="B658" s="2" t="str">
        <f t="shared" si="10"/>
        <v>sa-22-3</v>
      </c>
      <c r="C658" t="s">
        <v>336</v>
      </c>
      <c r="D658" t="s">
        <v>42</v>
      </c>
      <c r="E658">
        <v>2</v>
      </c>
      <c r="F658" s="6">
        <f>VLOOKUP(D658,Products!A$2:C$101,3,FALSE)*E658</f>
        <v>68</v>
      </c>
      <c r="G658" t="s">
        <v>403</v>
      </c>
    </row>
    <row r="659" spans="1:7" x14ac:dyDescent="0.25">
      <c r="A659" s="3">
        <v>44102</v>
      </c>
      <c r="B659" s="2" t="str">
        <f t="shared" si="10"/>
        <v>sa-28-9</v>
      </c>
      <c r="C659" t="s">
        <v>309</v>
      </c>
      <c r="D659" t="s">
        <v>94</v>
      </c>
      <c r="E659">
        <v>2</v>
      </c>
      <c r="F659" s="6">
        <f>VLOOKUP(D659,Products!A$2:C$101,3,FALSE)*E659</f>
        <v>38</v>
      </c>
      <c r="G659" t="s">
        <v>406</v>
      </c>
    </row>
    <row r="660" spans="1:7" x14ac:dyDescent="0.25">
      <c r="A660" s="3">
        <v>44503</v>
      </c>
      <c r="B660" s="2" t="str">
        <f t="shared" si="10"/>
        <v>sa-3-11</v>
      </c>
      <c r="C660" t="s">
        <v>310</v>
      </c>
      <c r="D660" t="s">
        <v>59</v>
      </c>
      <c r="E660">
        <v>3</v>
      </c>
      <c r="F660" s="6">
        <f>VLOOKUP(D660,Products!A$2:C$101,3,FALSE)*E660</f>
        <v>105</v>
      </c>
      <c r="G660" t="s">
        <v>397</v>
      </c>
    </row>
    <row r="661" spans="1:7" x14ac:dyDescent="0.25">
      <c r="A661" s="3">
        <v>44018</v>
      </c>
      <c r="B661" s="2" t="str">
        <f t="shared" si="10"/>
        <v>sa-6-7</v>
      </c>
      <c r="C661" t="s">
        <v>313</v>
      </c>
      <c r="D661" t="s">
        <v>85</v>
      </c>
      <c r="E661">
        <v>6</v>
      </c>
      <c r="F661" s="6">
        <f>VLOOKUP(D661,Products!A$2:C$101,3,FALSE)*E661</f>
        <v>198</v>
      </c>
      <c r="G661" t="s">
        <v>400</v>
      </c>
    </row>
    <row r="662" spans="1:7" x14ac:dyDescent="0.25">
      <c r="A662" s="3">
        <v>44649</v>
      </c>
      <c r="B662" s="2" t="str">
        <f t="shared" si="10"/>
        <v>sa-29-3</v>
      </c>
      <c r="C662" t="s">
        <v>334</v>
      </c>
      <c r="D662" t="s">
        <v>70</v>
      </c>
      <c r="E662">
        <v>2</v>
      </c>
      <c r="F662" s="6">
        <f>VLOOKUP(D662,Products!A$2:C$101,3,FALSE)*E662</f>
        <v>70</v>
      </c>
      <c r="G662" t="s">
        <v>406</v>
      </c>
    </row>
    <row r="663" spans="1:7" x14ac:dyDescent="0.25">
      <c r="A663" s="3">
        <v>44105</v>
      </c>
      <c r="B663" s="2" t="str">
        <f t="shared" si="10"/>
        <v>sa-1-10</v>
      </c>
      <c r="C663" t="s">
        <v>354</v>
      </c>
      <c r="D663" t="s">
        <v>95</v>
      </c>
      <c r="E663">
        <v>3</v>
      </c>
      <c r="F663" s="6">
        <f>VLOOKUP(D663,Products!A$2:C$101,3,FALSE)*E663</f>
        <v>36</v>
      </c>
      <c r="G663" t="s">
        <v>400</v>
      </c>
    </row>
    <row r="664" spans="1:7" x14ac:dyDescent="0.25">
      <c r="A664" s="3">
        <v>44521</v>
      </c>
      <c r="B664" s="2" t="str">
        <f t="shared" si="10"/>
        <v>sa-21-11</v>
      </c>
      <c r="C664" t="s">
        <v>337</v>
      </c>
      <c r="D664" t="s">
        <v>18</v>
      </c>
      <c r="E664">
        <v>4</v>
      </c>
      <c r="F664" s="6">
        <f>VLOOKUP(D664,Products!A$2:C$101,3,FALSE)*E664</f>
        <v>140</v>
      </c>
      <c r="G664" t="s">
        <v>396</v>
      </c>
    </row>
    <row r="665" spans="1:7" x14ac:dyDescent="0.25">
      <c r="A665" s="3">
        <v>44312</v>
      </c>
      <c r="B665" s="2" t="str">
        <f t="shared" si="10"/>
        <v>sa-26-4</v>
      </c>
      <c r="C665" t="s">
        <v>332</v>
      </c>
      <c r="D665" t="s">
        <v>74</v>
      </c>
      <c r="E665">
        <v>2</v>
      </c>
      <c r="F665" s="6">
        <f>VLOOKUP(D665,Products!A$2:C$101,3,FALSE)*E665</f>
        <v>68</v>
      </c>
      <c r="G665" t="s">
        <v>401</v>
      </c>
    </row>
    <row r="666" spans="1:7" x14ac:dyDescent="0.25">
      <c r="A666" s="3">
        <v>44202</v>
      </c>
      <c r="B666" s="2" t="str">
        <f t="shared" si="10"/>
        <v>sa-6-1</v>
      </c>
      <c r="C666" t="s">
        <v>348</v>
      </c>
      <c r="D666" t="s">
        <v>59</v>
      </c>
      <c r="E666">
        <v>4</v>
      </c>
      <c r="F666" s="6">
        <f>VLOOKUP(D666,Products!A$2:C$101,3,FALSE)*E666</f>
        <v>140</v>
      </c>
      <c r="G666" t="s">
        <v>405</v>
      </c>
    </row>
    <row r="667" spans="1:7" x14ac:dyDescent="0.25">
      <c r="A667" s="3">
        <v>44727</v>
      </c>
      <c r="B667" s="2" t="str">
        <f t="shared" si="10"/>
        <v>sa-15-6</v>
      </c>
      <c r="C667" t="s">
        <v>323</v>
      </c>
      <c r="D667" t="s">
        <v>76</v>
      </c>
      <c r="E667">
        <v>5</v>
      </c>
      <c r="F667" s="6">
        <f>VLOOKUP(D667,Products!A$2:C$101,3,FALSE)*E667</f>
        <v>170</v>
      </c>
      <c r="G667" t="s">
        <v>397</v>
      </c>
    </row>
    <row r="668" spans="1:7" x14ac:dyDescent="0.25">
      <c r="A668" s="3">
        <v>44371</v>
      </c>
      <c r="B668" s="2" t="str">
        <f t="shared" si="10"/>
        <v>sa-24-6</v>
      </c>
      <c r="C668" t="s">
        <v>353</v>
      </c>
      <c r="D668" t="s">
        <v>83</v>
      </c>
      <c r="E668">
        <v>3</v>
      </c>
      <c r="F668" s="6">
        <f>VLOOKUP(D668,Products!A$2:C$101,3,FALSE)*E668</f>
        <v>90</v>
      </c>
      <c r="G668" t="s">
        <v>397</v>
      </c>
    </row>
    <row r="669" spans="1:7" x14ac:dyDescent="0.25">
      <c r="A669" s="3">
        <v>44281</v>
      </c>
      <c r="B669" s="2" t="str">
        <f t="shared" si="10"/>
        <v>sa-26-3</v>
      </c>
      <c r="C669" t="s">
        <v>325</v>
      </c>
      <c r="D669" t="s">
        <v>41</v>
      </c>
      <c r="E669">
        <v>4</v>
      </c>
      <c r="F669" s="6">
        <f>VLOOKUP(D669,Products!A$2:C$101,3,FALSE)*E669</f>
        <v>132</v>
      </c>
      <c r="G669" t="s">
        <v>402</v>
      </c>
    </row>
    <row r="670" spans="1:7" x14ac:dyDescent="0.25">
      <c r="A670" s="3">
        <v>44150</v>
      </c>
      <c r="B670" s="2" t="str">
        <f t="shared" si="10"/>
        <v>sa-15-11</v>
      </c>
      <c r="C670" t="s">
        <v>309</v>
      </c>
      <c r="D670" t="s">
        <v>43</v>
      </c>
      <c r="E670">
        <v>6</v>
      </c>
      <c r="F670" s="6">
        <f>VLOOKUP(D670,Products!A$2:C$101,3,FALSE)*E670</f>
        <v>198</v>
      </c>
      <c r="G670" t="s">
        <v>395</v>
      </c>
    </row>
    <row r="671" spans="1:7" x14ac:dyDescent="0.25">
      <c r="A671" s="3">
        <v>44663</v>
      </c>
      <c r="B671" s="2" t="str">
        <f t="shared" si="10"/>
        <v>sa-12-4</v>
      </c>
      <c r="C671" t="s">
        <v>335</v>
      </c>
      <c r="D671" t="s">
        <v>97</v>
      </c>
      <c r="E671">
        <v>3</v>
      </c>
      <c r="F671" s="6">
        <f>VLOOKUP(D671,Products!A$2:C$101,3,FALSE)*E671</f>
        <v>30</v>
      </c>
      <c r="G671" t="s">
        <v>405</v>
      </c>
    </row>
    <row r="672" spans="1:7" x14ac:dyDescent="0.25">
      <c r="A672" s="3">
        <v>44389</v>
      </c>
      <c r="B672" s="2" t="str">
        <f t="shared" si="10"/>
        <v>sa-12-7</v>
      </c>
      <c r="C672" t="s">
        <v>308</v>
      </c>
      <c r="D672" t="s">
        <v>58</v>
      </c>
      <c r="E672">
        <v>3</v>
      </c>
      <c r="F672" s="6">
        <f>VLOOKUP(D672,Products!A$2:C$101,3,FALSE)*E672</f>
        <v>105</v>
      </c>
      <c r="G672" t="s">
        <v>408</v>
      </c>
    </row>
    <row r="673" spans="1:7" x14ac:dyDescent="0.25">
      <c r="A673" s="3">
        <v>44599</v>
      </c>
      <c r="B673" s="2" t="str">
        <f t="shared" si="10"/>
        <v>sa-7-2</v>
      </c>
      <c r="C673" t="s">
        <v>352</v>
      </c>
      <c r="D673" t="s">
        <v>77</v>
      </c>
      <c r="E673">
        <v>5</v>
      </c>
      <c r="F673" s="6">
        <f>VLOOKUP(D673,Products!A$2:C$101,3,FALSE)*E673</f>
        <v>170</v>
      </c>
      <c r="G673" t="s">
        <v>399</v>
      </c>
    </row>
    <row r="674" spans="1:7" x14ac:dyDescent="0.25">
      <c r="A674" s="3">
        <v>44236</v>
      </c>
      <c r="B674" s="2" t="str">
        <f t="shared" si="10"/>
        <v>sa-9-2</v>
      </c>
      <c r="C674" t="s">
        <v>312</v>
      </c>
      <c r="D674" t="s">
        <v>63</v>
      </c>
      <c r="E674">
        <v>4</v>
      </c>
      <c r="F674" s="6">
        <f>VLOOKUP(D674,Products!A$2:C$101,3,FALSE)*E674</f>
        <v>132</v>
      </c>
      <c r="G674" t="s">
        <v>400</v>
      </c>
    </row>
    <row r="675" spans="1:7" x14ac:dyDescent="0.25">
      <c r="A675" s="3">
        <v>43942</v>
      </c>
      <c r="B675" s="2" t="str">
        <f t="shared" si="10"/>
        <v>sa-21-4</v>
      </c>
      <c r="C675" t="s">
        <v>311</v>
      </c>
      <c r="D675" t="s">
        <v>101</v>
      </c>
      <c r="E675">
        <v>4</v>
      </c>
      <c r="F675" s="6">
        <f>VLOOKUP(D675,Products!A$2:C$101,3,FALSE)*E675</f>
        <v>40</v>
      </c>
      <c r="G675" t="s">
        <v>406</v>
      </c>
    </row>
    <row r="676" spans="1:7" x14ac:dyDescent="0.25">
      <c r="A676" s="3">
        <v>44186</v>
      </c>
      <c r="B676" s="2" t="str">
        <f t="shared" si="10"/>
        <v>sa-21-12</v>
      </c>
      <c r="C676" t="s">
        <v>331</v>
      </c>
      <c r="D676" t="s">
        <v>93</v>
      </c>
      <c r="E676">
        <v>4</v>
      </c>
      <c r="F676" s="6">
        <f>VLOOKUP(D676,Products!A$2:C$101,3,FALSE)*E676</f>
        <v>68</v>
      </c>
      <c r="G676" t="s">
        <v>408</v>
      </c>
    </row>
    <row r="677" spans="1:7" x14ac:dyDescent="0.25">
      <c r="A677" s="3">
        <v>44056</v>
      </c>
      <c r="B677" s="2" t="str">
        <f t="shared" si="10"/>
        <v>sa-13-8</v>
      </c>
      <c r="C677" t="s">
        <v>344</v>
      </c>
      <c r="D677" t="s">
        <v>58</v>
      </c>
      <c r="E677">
        <v>4</v>
      </c>
      <c r="F677" s="6">
        <f>VLOOKUP(D677,Products!A$2:C$101,3,FALSE)*E677</f>
        <v>140</v>
      </c>
      <c r="G677" t="s">
        <v>406</v>
      </c>
    </row>
    <row r="678" spans="1:7" x14ac:dyDescent="0.25">
      <c r="A678" s="3">
        <v>44693</v>
      </c>
      <c r="B678" s="2" t="str">
        <f t="shared" si="10"/>
        <v>sa-12-5</v>
      </c>
      <c r="C678" t="s">
        <v>347</v>
      </c>
      <c r="D678" t="s">
        <v>88</v>
      </c>
      <c r="E678">
        <v>6</v>
      </c>
      <c r="F678" s="6">
        <f>VLOOKUP(D678,Products!A$2:C$101,3,FALSE)*E678</f>
        <v>102</v>
      </c>
      <c r="G678" t="s">
        <v>399</v>
      </c>
    </row>
    <row r="679" spans="1:7" x14ac:dyDescent="0.25">
      <c r="A679" s="3">
        <v>43844</v>
      </c>
      <c r="B679" s="2" t="str">
        <f t="shared" si="10"/>
        <v>sa-14-1</v>
      </c>
      <c r="C679" t="s">
        <v>341</v>
      </c>
      <c r="D679" t="s">
        <v>99</v>
      </c>
      <c r="E679">
        <v>3</v>
      </c>
      <c r="F679" s="6">
        <f>VLOOKUP(D679,Products!A$2:C$101,3,FALSE)*E679</f>
        <v>45</v>
      </c>
      <c r="G679" t="s">
        <v>400</v>
      </c>
    </row>
    <row r="680" spans="1:7" x14ac:dyDescent="0.25">
      <c r="A680" s="3">
        <v>43864</v>
      </c>
      <c r="B680" s="2" t="str">
        <f t="shared" si="10"/>
        <v>sa-3-2</v>
      </c>
      <c r="C680" t="s">
        <v>340</v>
      </c>
      <c r="D680" t="s">
        <v>59</v>
      </c>
      <c r="E680">
        <v>2</v>
      </c>
      <c r="F680" s="6">
        <f>VLOOKUP(D680,Products!A$2:C$101,3,FALSE)*E680</f>
        <v>70</v>
      </c>
      <c r="G680" t="s">
        <v>397</v>
      </c>
    </row>
    <row r="681" spans="1:7" x14ac:dyDescent="0.25">
      <c r="A681" s="3">
        <v>44382</v>
      </c>
      <c r="B681" s="2" t="str">
        <f t="shared" si="10"/>
        <v>sa-5-7</v>
      </c>
      <c r="C681" t="s">
        <v>350</v>
      </c>
      <c r="D681" t="s">
        <v>55</v>
      </c>
      <c r="E681">
        <v>6</v>
      </c>
      <c r="F681" s="6">
        <f>VLOOKUP(D681,Products!A$2:C$101,3,FALSE)*E681</f>
        <v>192</v>
      </c>
      <c r="G681" t="s">
        <v>399</v>
      </c>
    </row>
    <row r="682" spans="1:7" x14ac:dyDescent="0.25">
      <c r="A682" s="3">
        <v>44229</v>
      </c>
      <c r="B682" s="2" t="str">
        <f t="shared" si="10"/>
        <v>sa-2-2</v>
      </c>
      <c r="C682" t="s">
        <v>341</v>
      </c>
      <c r="D682" t="s">
        <v>16</v>
      </c>
      <c r="E682">
        <v>6</v>
      </c>
      <c r="F682" s="6">
        <f>VLOOKUP(D682,Products!A$2:C$101,3,FALSE)*E682</f>
        <v>180</v>
      </c>
      <c r="G682" t="s">
        <v>405</v>
      </c>
    </row>
    <row r="683" spans="1:7" x14ac:dyDescent="0.25">
      <c r="A683" s="3">
        <v>44026</v>
      </c>
      <c r="B683" s="2" t="str">
        <f t="shared" si="10"/>
        <v>sa-14-7</v>
      </c>
      <c r="C683" t="s">
        <v>307</v>
      </c>
      <c r="D683" t="s">
        <v>43</v>
      </c>
      <c r="E683">
        <v>6</v>
      </c>
      <c r="F683" s="6">
        <f>VLOOKUP(D683,Products!A$2:C$101,3,FALSE)*E683</f>
        <v>198</v>
      </c>
      <c r="G683" t="s">
        <v>399</v>
      </c>
    </row>
    <row r="684" spans="1:7" x14ac:dyDescent="0.25">
      <c r="A684" s="3">
        <v>44201</v>
      </c>
      <c r="B684" s="2" t="str">
        <f t="shared" si="10"/>
        <v>sa-5-1</v>
      </c>
      <c r="C684" t="s">
        <v>323</v>
      </c>
      <c r="D684" t="s">
        <v>59</v>
      </c>
      <c r="E684">
        <v>2</v>
      </c>
      <c r="F684" s="6">
        <f>VLOOKUP(D684,Products!A$2:C$101,3,FALSE)*E684</f>
        <v>70</v>
      </c>
      <c r="G684" t="s">
        <v>407</v>
      </c>
    </row>
    <row r="685" spans="1:7" x14ac:dyDescent="0.25">
      <c r="A685" s="3">
        <v>43882</v>
      </c>
      <c r="B685" s="2" t="str">
        <f t="shared" si="10"/>
        <v>sa-21-2</v>
      </c>
      <c r="C685" t="s">
        <v>324</v>
      </c>
      <c r="D685" t="s">
        <v>65</v>
      </c>
      <c r="E685">
        <v>4</v>
      </c>
      <c r="F685" s="6">
        <f>VLOOKUP(D685,Products!A$2:C$101,3,FALSE)*E685</f>
        <v>128</v>
      </c>
      <c r="G685" t="s">
        <v>402</v>
      </c>
    </row>
    <row r="686" spans="1:7" x14ac:dyDescent="0.25">
      <c r="A686" s="3">
        <v>43856</v>
      </c>
      <c r="B686" s="2" t="str">
        <f t="shared" si="10"/>
        <v>sa-26-1</v>
      </c>
      <c r="C686" t="s">
        <v>328</v>
      </c>
      <c r="D686" t="s">
        <v>23</v>
      </c>
      <c r="E686">
        <v>4</v>
      </c>
      <c r="F686" s="6">
        <f>VLOOKUP(D686,Products!A$2:C$101,3,FALSE)*E686</f>
        <v>124</v>
      </c>
      <c r="G686" t="s">
        <v>408</v>
      </c>
    </row>
    <row r="687" spans="1:7" x14ac:dyDescent="0.25">
      <c r="A687" s="3">
        <v>44216</v>
      </c>
      <c r="B687" s="2" t="str">
        <f t="shared" si="10"/>
        <v>sa-20-1</v>
      </c>
      <c r="C687" t="s">
        <v>325</v>
      </c>
      <c r="D687" t="s">
        <v>55</v>
      </c>
      <c r="E687">
        <v>5</v>
      </c>
      <c r="F687" s="6">
        <f>VLOOKUP(D687,Products!A$2:C$101,3,FALSE)*E687</f>
        <v>160</v>
      </c>
      <c r="G687" t="s">
        <v>403</v>
      </c>
    </row>
    <row r="688" spans="1:7" x14ac:dyDescent="0.25">
      <c r="A688" s="3">
        <v>44373</v>
      </c>
      <c r="B688" s="2" t="str">
        <f t="shared" si="10"/>
        <v>sa-26-6</v>
      </c>
      <c r="C688" t="s">
        <v>351</v>
      </c>
      <c r="D688" t="s">
        <v>96</v>
      </c>
      <c r="E688">
        <v>6</v>
      </c>
      <c r="F688" s="6">
        <f>VLOOKUP(D688,Products!A$2:C$101,3,FALSE)*E688</f>
        <v>60</v>
      </c>
      <c r="G688" t="s">
        <v>406</v>
      </c>
    </row>
    <row r="689" spans="1:7" x14ac:dyDescent="0.25">
      <c r="A689" s="3">
        <v>43967</v>
      </c>
      <c r="B689" s="2" t="str">
        <f t="shared" si="10"/>
        <v>sa-16-5</v>
      </c>
      <c r="C689" t="s">
        <v>333</v>
      </c>
      <c r="D689" t="s">
        <v>10</v>
      </c>
      <c r="E689">
        <v>3</v>
      </c>
      <c r="F689" s="6">
        <f>VLOOKUP(D689,Products!A$2:C$101,3,FALSE)*E689</f>
        <v>216</v>
      </c>
      <c r="G689" t="s">
        <v>408</v>
      </c>
    </row>
    <row r="690" spans="1:7" x14ac:dyDescent="0.25">
      <c r="A690" s="3">
        <v>44140</v>
      </c>
      <c r="B690" s="2" t="str">
        <f t="shared" si="10"/>
        <v>sa-5-11</v>
      </c>
      <c r="C690" t="s">
        <v>323</v>
      </c>
      <c r="D690" t="s">
        <v>42</v>
      </c>
      <c r="E690">
        <v>5</v>
      </c>
      <c r="F690" s="6">
        <f>VLOOKUP(D690,Products!A$2:C$101,3,FALSE)*E690</f>
        <v>170</v>
      </c>
      <c r="G690" t="s">
        <v>396</v>
      </c>
    </row>
    <row r="691" spans="1:7" x14ac:dyDescent="0.25">
      <c r="A691" s="3">
        <v>43846</v>
      </c>
      <c r="B691" s="2" t="str">
        <f t="shared" si="10"/>
        <v>sa-16-1</v>
      </c>
      <c r="C691" t="s">
        <v>309</v>
      </c>
      <c r="D691" t="s">
        <v>22</v>
      </c>
      <c r="E691">
        <v>3</v>
      </c>
      <c r="F691" s="6">
        <f>VLOOKUP(D691,Products!A$2:C$101,3,FALSE)*E691</f>
        <v>102</v>
      </c>
      <c r="G691" t="s">
        <v>407</v>
      </c>
    </row>
    <row r="692" spans="1:7" x14ac:dyDescent="0.25">
      <c r="A692" s="3">
        <v>44311</v>
      </c>
      <c r="B692" s="2" t="str">
        <f t="shared" si="10"/>
        <v>sa-25-4</v>
      </c>
      <c r="C692" t="s">
        <v>354</v>
      </c>
      <c r="D692" t="s">
        <v>54</v>
      </c>
      <c r="E692">
        <v>5</v>
      </c>
      <c r="F692" s="6">
        <f>VLOOKUP(D692,Products!A$2:C$101,3,FALSE)*E692</f>
        <v>175</v>
      </c>
      <c r="G692" t="s">
        <v>403</v>
      </c>
    </row>
    <row r="693" spans="1:7" x14ac:dyDescent="0.25">
      <c r="A693" s="3">
        <v>44347</v>
      </c>
      <c r="B693" s="2" t="str">
        <f t="shared" si="10"/>
        <v>sa-31-5</v>
      </c>
      <c r="C693" t="s">
        <v>307</v>
      </c>
      <c r="D693" t="s">
        <v>5</v>
      </c>
      <c r="E693">
        <v>5</v>
      </c>
      <c r="F693" s="6">
        <f>VLOOKUP(D693,Products!A$2:C$101,3,FALSE)*E693</f>
        <v>400</v>
      </c>
      <c r="G693" t="s">
        <v>397</v>
      </c>
    </row>
    <row r="694" spans="1:7" x14ac:dyDescent="0.25">
      <c r="A694" s="3">
        <v>44569</v>
      </c>
      <c r="B694" s="2" t="str">
        <f t="shared" si="10"/>
        <v>sa-8-1</v>
      </c>
      <c r="C694" t="s">
        <v>324</v>
      </c>
      <c r="D694" t="s">
        <v>63</v>
      </c>
      <c r="E694">
        <v>3</v>
      </c>
      <c r="F694" s="6">
        <f>VLOOKUP(D694,Products!A$2:C$101,3,FALSE)*E694</f>
        <v>99</v>
      </c>
      <c r="G694" t="s">
        <v>399</v>
      </c>
    </row>
    <row r="695" spans="1:7" x14ac:dyDescent="0.25">
      <c r="A695" s="3">
        <v>44742</v>
      </c>
      <c r="B695" s="2" t="str">
        <f t="shared" si="10"/>
        <v>sa-30-6</v>
      </c>
      <c r="C695" t="s">
        <v>343</v>
      </c>
      <c r="D695" t="s">
        <v>38</v>
      </c>
      <c r="E695">
        <v>6</v>
      </c>
      <c r="F695" s="6">
        <f>VLOOKUP(D695,Products!A$2:C$101,3,FALSE)*E695</f>
        <v>192</v>
      </c>
      <c r="G695" t="s">
        <v>400</v>
      </c>
    </row>
    <row r="696" spans="1:7" x14ac:dyDescent="0.25">
      <c r="A696" s="3">
        <v>44018</v>
      </c>
      <c r="B696" s="2" t="str">
        <f t="shared" si="10"/>
        <v>sa-6-7</v>
      </c>
      <c r="C696" t="s">
        <v>354</v>
      </c>
      <c r="D696" t="s">
        <v>101</v>
      </c>
      <c r="E696">
        <v>6</v>
      </c>
      <c r="F696" s="6">
        <f>VLOOKUP(D696,Products!A$2:C$101,3,FALSE)*E696</f>
        <v>60</v>
      </c>
      <c r="G696" t="s">
        <v>400</v>
      </c>
    </row>
    <row r="697" spans="1:7" x14ac:dyDescent="0.25">
      <c r="A697" s="3">
        <v>44479</v>
      </c>
      <c r="B697" s="2" t="str">
        <f t="shared" si="10"/>
        <v>sa-10-10</v>
      </c>
      <c r="C697" t="s">
        <v>320</v>
      </c>
      <c r="D697" t="s">
        <v>51</v>
      </c>
      <c r="E697">
        <v>4</v>
      </c>
      <c r="F697" s="6">
        <f>VLOOKUP(D697,Products!A$2:C$101,3,FALSE)*E697</f>
        <v>124</v>
      </c>
      <c r="G697" t="s">
        <v>395</v>
      </c>
    </row>
    <row r="698" spans="1:7" x14ac:dyDescent="0.25">
      <c r="A698" s="3">
        <v>44322</v>
      </c>
      <c r="B698" s="2" t="str">
        <f t="shared" si="10"/>
        <v>sa-6-5</v>
      </c>
      <c r="C698" t="s">
        <v>317</v>
      </c>
      <c r="D698" t="s">
        <v>55</v>
      </c>
      <c r="E698">
        <v>4</v>
      </c>
      <c r="F698" s="6">
        <f>VLOOKUP(D698,Products!A$2:C$101,3,FALSE)*E698</f>
        <v>128</v>
      </c>
      <c r="G698" t="s">
        <v>408</v>
      </c>
    </row>
    <row r="699" spans="1:7" x14ac:dyDescent="0.25">
      <c r="A699" s="3">
        <v>43852</v>
      </c>
      <c r="B699" s="2" t="str">
        <f t="shared" si="10"/>
        <v>sa-22-1</v>
      </c>
      <c r="C699" t="s">
        <v>352</v>
      </c>
      <c r="D699" t="s">
        <v>51</v>
      </c>
      <c r="E699">
        <v>3</v>
      </c>
      <c r="F699" s="6">
        <f>VLOOKUP(D699,Products!A$2:C$101,3,FALSE)*E699</f>
        <v>93</v>
      </c>
      <c r="G699" t="s">
        <v>399</v>
      </c>
    </row>
    <row r="700" spans="1:7" x14ac:dyDescent="0.25">
      <c r="A700" s="3">
        <v>44606</v>
      </c>
      <c r="B700" s="2" t="str">
        <f t="shared" si="10"/>
        <v>sa-14-2</v>
      </c>
      <c r="C700" t="s">
        <v>339</v>
      </c>
      <c r="D700" t="s">
        <v>57</v>
      </c>
      <c r="E700">
        <v>5</v>
      </c>
      <c r="F700" s="6">
        <f>VLOOKUP(D700,Products!A$2:C$101,3,FALSE)*E700</f>
        <v>175</v>
      </c>
      <c r="G700" t="s">
        <v>407</v>
      </c>
    </row>
    <row r="701" spans="1:7" x14ac:dyDescent="0.25">
      <c r="A701" s="3">
        <v>43935</v>
      </c>
      <c r="B701" s="2" t="str">
        <f t="shared" si="10"/>
        <v>sa-14-4</v>
      </c>
      <c r="C701" t="s">
        <v>334</v>
      </c>
      <c r="D701" t="s">
        <v>35</v>
      </c>
      <c r="E701">
        <v>3</v>
      </c>
      <c r="F701" s="6">
        <f>VLOOKUP(D701,Products!A$2:C$101,3,FALSE)*E701</f>
        <v>90</v>
      </c>
      <c r="G701" t="s">
        <v>398</v>
      </c>
    </row>
    <row r="702" spans="1:7" x14ac:dyDescent="0.25">
      <c r="A702" s="3">
        <v>44635</v>
      </c>
      <c r="B702" s="2" t="str">
        <f t="shared" si="10"/>
        <v>sa-15-3</v>
      </c>
      <c r="C702" t="s">
        <v>334</v>
      </c>
      <c r="D702" t="s">
        <v>64</v>
      </c>
      <c r="E702">
        <v>3</v>
      </c>
      <c r="F702" s="6">
        <f>VLOOKUP(D702,Products!A$2:C$101,3,FALSE)*E702</f>
        <v>105</v>
      </c>
      <c r="G702" t="s">
        <v>400</v>
      </c>
    </row>
    <row r="703" spans="1:7" x14ac:dyDescent="0.25">
      <c r="A703" s="3">
        <v>43899</v>
      </c>
      <c r="B703" s="2" t="str">
        <f t="shared" si="10"/>
        <v>sa-9-3</v>
      </c>
      <c r="C703" t="s">
        <v>354</v>
      </c>
      <c r="D703" t="s">
        <v>39</v>
      </c>
      <c r="E703">
        <v>3</v>
      </c>
      <c r="F703" s="6">
        <f>VLOOKUP(D703,Products!A$2:C$101,3,FALSE)*E703</f>
        <v>96</v>
      </c>
      <c r="G703" t="s">
        <v>395</v>
      </c>
    </row>
    <row r="704" spans="1:7" x14ac:dyDescent="0.25">
      <c r="A704" s="3">
        <v>43957</v>
      </c>
      <c r="B704" s="2" t="str">
        <f t="shared" si="10"/>
        <v>sa-6-5</v>
      </c>
      <c r="C704" t="s">
        <v>343</v>
      </c>
      <c r="D704" t="s">
        <v>62</v>
      </c>
      <c r="E704">
        <v>4</v>
      </c>
      <c r="F704" s="6">
        <f>VLOOKUP(D704,Products!A$2:C$101,3,FALSE)*E704</f>
        <v>128</v>
      </c>
      <c r="G704" t="s">
        <v>399</v>
      </c>
    </row>
    <row r="705" spans="1:7" x14ac:dyDescent="0.25">
      <c r="A705" s="3">
        <v>44399</v>
      </c>
      <c r="B705" s="2" t="str">
        <f t="shared" si="10"/>
        <v>sa-22-7</v>
      </c>
      <c r="C705" t="s">
        <v>321</v>
      </c>
      <c r="D705" t="s">
        <v>93</v>
      </c>
      <c r="E705">
        <v>6</v>
      </c>
      <c r="F705" s="6">
        <f>VLOOKUP(D705,Products!A$2:C$101,3,FALSE)*E705</f>
        <v>102</v>
      </c>
      <c r="G705" t="s">
        <v>396</v>
      </c>
    </row>
    <row r="706" spans="1:7" x14ac:dyDescent="0.25">
      <c r="A706" s="3">
        <v>44256</v>
      </c>
      <c r="B706" s="2" t="str">
        <f t="shared" si="10"/>
        <v>sa-1-3</v>
      </c>
      <c r="C706" t="s">
        <v>342</v>
      </c>
      <c r="D706" t="s">
        <v>47</v>
      </c>
      <c r="E706">
        <v>4</v>
      </c>
      <c r="F706" s="6">
        <f>VLOOKUP(D706,Products!A$2:C$101,3,FALSE)*E706</f>
        <v>128</v>
      </c>
      <c r="G706" t="s">
        <v>408</v>
      </c>
    </row>
    <row r="707" spans="1:7" x14ac:dyDescent="0.25">
      <c r="A707" s="3">
        <v>44085</v>
      </c>
      <c r="B707" s="2" t="str">
        <f t="shared" ref="B707:B770" si="11">"sa-"&amp;DAY(A707)&amp;"-"&amp;MONTH(A707)</f>
        <v>sa-11-9</v>
      </c>
      <c r="C707" t="s">
        <v>329</v>
      </c>
      <c r="D707" t="s">
        <v>51</v>
      </c>
      <c r="E707">
        <v>5</v>
      </c>
      <c r="F707" s="6">
        <f>VLOOKUP(D707,Products!A$2:C$101,3,FALSE)*E707</f>
        <v>155</v>
      </c>
      <c r="G707" t="s">
        <v>407</v>
      </c>
    </row>
    <row r="708" spans="1:7" x14ac:dyDescent="0.25">
      <c r="A708" s="3">
        <v>44453</v>
      </c>
      <c r="B708" s="2" t="str">
        <f t="shared" si="11"/>
        <v>sa-14-9</v>
      </c>
      <c r="C708" t="s">
        <v>337</v>
      </c>
      <c r="D708" t="s">
        <v>15</v>
      </c>
      <c r="E708">
        <v>2</v>
      </c>
      <c r="F708" s="6">
        <f>VLOOKUP(D708,Products!A$2:C$101,3,FALSE)*E708</f>
        <v>70</v>
      </c>
      <c r="G708" t="s">
        <v>407</v>
      </c>
    </row>
    <row r="709" spans="1:7" x14ac:dyDescent="0.25">
      <c r="A709" s="3">
        <v>44023</v>
      </c>
      <c r="B709" s="2" t="str">
        <f t="shared" si="11"/>
        <v>sa-11-7</v>
      </c>
      <c r="C709" t="s">
        <v>349</v>
      </c>
      <c r="D709" t="s">
        <v>77</v>
      </c>
      <c r="E709">
        <v>6</v>
      </c>
      <c r="F709" s="6">
        <f>VLOOKUP(D709,Products!A$2:C$101,3,FALSE)*E709</f>
        <v>204</v>
      </c>
      <c r="G709" t="s">
        <v>403</v>
      </c>
    </row>
    <row r="710" spans="1:7" x14ac:dyDescent="0.25">
      <c r="A710" s="3">
        <v>44421</v>
      </c>
      <c r="B710" s="2" t="str">
        <f t="shared" si="11"/>
        <v>sa-13-8</v>
      </c>
      <c r="C710" t="s">
        <v>334</v>
      </c>
      <c r="D710" t="s">
        <v>42</v>
      </c>
      <c r="E710">
        <v>6</v>
      </c>
      <c r="F710" s="6">
        <f>VLOOKUP(D710,Products!A$2:C$101,3,FALSE)*E710</f>
        <v>204</v>
      </c>
      <c r="G710" t="s">
        <v>395</v>
      </c>
    </row>
    <row r="711" spans="1:7" x14ac:dyDescent="0.25">
      <c r="A711" s="3">
        <v>44416</v>
      </c>
      <c r="B711" s="2" t="str">
        <f t="shared" si="11"/>
        <v>sa-8-8</v>
      </c>
      <c r="C711" t="s">
        <v>314</v>
      </c>
      <c r="D711" t="s">
        <v>47</v>
      </c>
      <c r="E711">
        <v>3</v>
      </c>
      <c r="F711" s="6">
        <f>VLOOKUP(D711,Products!A$2:C$101,3,FALSE)*E711</f>
        <v>96</v>
      </c>
      <c r="G711" t="s">
        <v>397</v>
      </c>
    </row>
    <row r="712" spans="1:7" x14ac:dyDescent="0.25">
      <c r="A712" s="3">
        <v>44461</v>
      </c>
      <c r="B712" s="2" t="str">
        <f t="shared" si="11"/>
        <v>sa-22-9</v>
      </c>
      <c r="C712" t="s">
        <v>308</v>
      </c>
      <c r="D712" t="s">
        <v>61</v>
      </c>
      <c r="E712">
        <v>6</v>
      </c>
      <c r="F712" s="6">
        <f>VLOOKUP(D712,Products!A$2:C$101,3,FALSE)*E712</f>
        <v>186</v>
      </c>
      <c r="G712" t="s">
        <v>395</v>
      </c>
    </row>
    <row r="713" spans="1:7" x14ac:dyDescent="0.25">
      <c r="A713" s="3">
        <v>44554</v>
      </c>
      <c r="B713" s="2" t="str">
        <f t="shared" si="11"/>
        <v>sa-24-12</v>
      </c>
      <c r="C713" t="s">
        <v>340</v>
      </c>
      <c r="D713" t="s">
        <v>59</v>
      </c>
      <c r="E713">
        <v>5</v>
      </c>
      <c r="F713" s="6">
        <f>VLOOKUP(D713,Products!A$2:C$101,3,FALSE)*E713</f>
        <v>175</v>
      </c>
      <c r="G713" t="s">
        <v>406</v>
      </c>
    </row>
    <row r="714" spans="1:7" x14ac:dyDescent="0.25">
      <c r="A714" s="3">
        <v>44507</v>
      </c>
      <c r="B714" s="2" t="str">
        <f t="shared" si="11"/>
        <v>sa-7-11</v>
      </c>
      <c r="C714" t="s">
        <v>352</v>
      </c>
      <c r="D714" t="s">
        <v>7</v>
      </c>
      <c r="E714">
        <v>3</v>
      </c>
      <c r="F714" s="6">
        <f>VLOOKUP(D714,Products!A$2:C$101,3,FALSE)*E714</f>
        <v>222</v>
      </c>
      <c r="G714" t="s">
        <v>397</v>
      </c>
    </row>
    <row r="715" spans="1:7" x14ac:dyDescent="0.25">
      <c r="A715" s="3">
        <v>44635</v>
      </c>
      <c r="B715" s="2" t="str">
        <f t="shared" si="11"/>
        <v>sa-15-3</v>
      </c>
      <c r="C715" t="s">
        <v>330</v>
      </c>
      <c r="D715" t="s">
        <v>23</v>
      </c>
      <c r="E715">
        <v>6</v>
      </c>
      <c r="F715" s="6">
        <f>VLOOKUP(D715,Products!A$2:C$101,3,FALSE)*E715</f>
        <v>186</v>
      </c>
      <c r="G715" t="s">
        <v>395</v>
      </c>
    </row>
    <row r="716" spans="1:7" x14ac:dyDescent="0.25">
      <c r="A716" s="3">
        <v>44130</v>
      </c>
      <c r="B716" s="2" t="str">
        <f t="shared" si="11"/>
        <v>sa-26-10</v>
      </c>
      <c r="C716" t="s">
        <v>324</v>
      </c>
      <c r="D716" t="s">
        <v>62</v>
      </c>
      <c r="E716">
        <v>2</v>
      </c>
      <c r="F716" s="6">
        <f>VLOOKUP(D716,Products!A$2:C$101,3,FALSE)*E716</f>
        <v>64</v>
      </c>
      <c r="G716" t="s">
        <v>398</v>
      </c>
    </row>
    <row r="717" spans="1:7" x14ac:dyDescent="0.25">
      <c r="A717" s="3">
        <v>43920</v>
      </c>
      <c r="B717" s="2" t="str">
        <f t="shared" si="11"/>
        <v>sa-30-3</v>
      </c>
      <c r="C717" t="s">
        <v>309</v>
      </c>
      <c r="D717" t="s">
        <v>40</v>
      </c>
      <c r="E717">
        <v>5</v>
      </c>
      <c r="F717" s="6">
        <f>VLOOKUP(D717,Products!A$2:C$101,3,FALSE)*E717</f>
        <v>170</v>
      </c>
      <c r="G717" t="s">
        <v>402</v>
      </c>
    </row>
    <row r="718" spans="1:7" x14ac:dyDescent="0.25">
      <c r="A718" s="3">
        <v>44185</v>
      </c>
      <c r="B718" s="2" t="str">
        <f t="shared" si="11"/>
        <v>sa-20-12</v>
      </c>
      <c r="C718" t="s">
        <v>312</v>
      </c>
      <c r="D718" t="s">
        <v>45</v>
      </c>
      <c r="E718">
        <v>2</v>
      </c>
      <c r="F718" s="6">
        <f>VLOOKUP(D718,Products!A$2:C$101,3,FALSE)*E718</f>
        <v>60</v>
      </c>
      <c r="G718" t="s">
        <v>396</v>
      </c>
    </row>
    <row r="719" spans="1:7" x14ac:dyDescent="0.25">
      <c r="A719" s="3">
        <v>43885</v>
      </c>
      <c r="B719" s="2" t="str">
        <f t="shared" si="11"/>
        <v>sa-24-2</v>
      </c>
      <c r="C719" t="s">
        <v>315</v>
      </c>
      <c r="D719" t="s">
        <v>11</v>
      </c>
      <c r="E719">
        <v>4</v>
      </c>
      <c r="F719" s="6">
        <f>VLOOKUP(D719,Products!A$2:C$101,3,FALSE)*E719</f>
        <v>312</v>
      </c>
      <c r="G719" t="s">
        <v>395</v>
      </c>
    </row>
    <row r="720" spans="1:7" x14ac:dyDescent="0.25">
      <c r="A720" s="3">
        <v>44335</v>
      </c>
      <c r="B720" s="2" t="str">
        <f t="shared" si="11"/>
        <v>sa-19-5</v>
      </c>
      <c r="C720" t="s">
        <v>353</v>
      </c>
      <c r="D720" t="s">
        <v>79</v>
      </c>
      <c r="E720">
        <v>5</v>
      </c>
      <c r="F720" s="6">
        <f>VLOOKUP(D720,Products!A$2:C$101,3,FALSE)*E720</f>
        <v>170</v>
      </c>
      <c r="G720" t="s">
        <v>403</v>
      </c>
    </row>
    <row r="721" spans="1:7" x14ac:dyDescent="0.25">
      <c r="A721" s="3">
        <v>43831</v>
      </c>
      <c r="B721" s="2" t="str">
        <f t="shared" si="11"/>
        <v>sa-1-1</v>
      </c>
      <c r="C721" t="s">
        <v>321</v>
      </c>
      <c r="D721" t="s">
        <v>9</v>
      </c>
      <c r="E721">
        <v>4</v>
      </c>
      <c r="F721" s="6">
        <f>VLOOKUP(D721,Products!A$2:C$101,3,FALSE)*E721</f>
        <v>320</v>
      </c>
      <c r="G721" t="s">
        <v>407</v>
      </c>
    </row>
    <row r="722" spans="1:7" x14ac:dyDescent="0.25">
      <c r="A722" s="3">
        <v>43930</v>
      </c>
      <c r="B722" s="2" t="str">
        <f t="shared" si="11"/>
        <v>sa-9-4</v>
      </c>
      <c r="C722" t="s">
        <v>329</v>
      </c>
      <c r="D722" t="s">
        <v>77</v>
      </c>
      <c r="E722">
        <v>3</v>
      </c>
      <c r="F722" s="6">
        <f>VLOOKUP(D722,Products!A$2:C$101,3,FALSE)*E722</f>
        <v>102</v>
      </c>
      <c r="G722" t="s">
        <v>401</v>
      </c>
    </row>
    <row r="723" spans="1:7" x14ac:dyDescent="0.25">
      <c r="A723" s="3">
        <v>44640</v>
      </c>
      <c r="B723" s="2" t="str">
        <f t="shared" si="11"/>
        <v>sa-20-3</v>
      </c>
      <c r="C723" t="s">
        <v>325</v>
      </c>
      <c r="D723" t="s">
        <v>32</v>
      </c>
      <c r="E723">
        <v>6</v>
      </c>
      <c r="F723" s="6">
        <f>VLOOKUP(D723,Products!A$2:C$101,3,FALSE)*E723</f>
        <v>204</v>
      </c>
      <c r="G723" t="s">
        <v>398</v>
      </c>
    </row>
    <row r="724" spans="1:7" x14ac:dyDescent="0.25">
      <c r="A724" s="3">
        <v>44017</v>
      </c>
      <c r="B724" s="2" t="str">
        <f t="shared" si="11"/>
        <v>sa-5-7</v>
      </c>
      <c r="C724" t="s">
        <v>344</v>
      </c>
      <c r="D724" t="s">
        <v>12</v>
      </c>
      <c r="E724">
        <v>5</v>
      </c>
      <c r="F724" s="6">
        <f>VLOOKUP(D724,Products!A$2:C$101,3,FALSE)*E724</f>
        <v>370</v>
      </c>
      <c r="G724" t="s">
        <v>404</v>
      </c>
    </row>
    <row r="725" spans="1:7" x14ac:dyDescent="0.25">
      <c r="A725" s="3">
        <v>44416</v>
      </c>
      <c r="B725" s="2" t="str">
        <f t="shared" si="11"/>
        <v>sa-8-8</v>
      </c>
      <c r="C725" t="s">
        <v>327</v>
      </c>
      <c r="D725" t="s">
        <v>8</v>
      </c>
      <c r="E725">
        <v>4</v>
      </c>
      <c r="F725" s="6">
        <f>VLOOKUP(D725,Products!A$2:C$101,3,FALSE)*E725</f>
        <v>252</v>
      </c>
      <c r="G725" t="s">
        <v>400</v>
      </c>
    </row>
    <row r="726" spans="1:7" x14ac:dyDescent="0.25">
      <c r="A726" s="3">
        <v>44551</v>
      </c>
      <c r="B726" s="2" t="str">
        <f t="shared" si="11"/>
        <v>sa-21-12</v>
      </c>
      <c r="C726" t="s">
        <v>341</v>
      </c>
      <c r="D726" t="s">
        <v>98</v>
      </c>
      <c r="E726">
        <v>4</v>
      </c>
      <c r="F726" s="6">
        <f>VLOOKUP(D726,Products!A$2:C$101,3,FALSE)*E726</f>
        <v>76</v>
      </c>
      <c r="G726" t="s">
        <v>400</v>
      </c>
    </row>
    <row r="727" spans="1:7" x14ac:dyDescent="0.25">
      <c r="A727" s="3">
        <v>43848</v>
      </c>
      <c r="B727" s="2" t="str">
        <f t="shared" si="11"/>
        <v>sa-18-1</v>
      </c>
      <c r="C727" t="s">
        <v>313</v>
      </c>
      <c r="D727" t="s">
        <v>54</v>
      </c>
      <c r="E727">
        <v>6</v>
      </c>
      <c r="F727" s="6">
        <f>VLOOKUP(D727,Products!A$2:C$101,3,FALSE)*E727</f>
        <v>210</v>
      </c>
      <c r="G727" t="s">
        <v>406</v>
      </c>
    </row>
    <row r="728" spans="1:7" x14ac:dyDescent="0.25">
      <c r="A728" s="3">
        <v>44555</v>
      </c>
      <c r="B728" s="2" t="str">
        <f t="shared" si="11"/>
        <v>sa-25-12</v>
      </c>
      <c r="C728" t="s">
        <v>335</v>
      </c>
      <c r="D728" t="s">
        <v>54</v>
      </c>
      <c r="E728">
        <v>2</v>
      </c>
      <c r="F728" s="6">
        <f>VLOOKUP(D728,Products!A$2:C$101,3,FALSE)*E728</f>
        <v>70</v>
      </c>
      <c r="G728" t="s">
        <v>398</v>
      </c>
    </row>
    <row r="729" spans="1:7" x14ac:dyDescent="0.25">
      <c r="A729" s="3">
        <v>44406</v>
      </c>
      <c r="B729" s="2" t="str">
        <f t="shared" si="11"/>
        <v>sa-29-7</v>
      </c>
      <c r="C729" t="s">
        <v>312</v>
      </c>
      <c r="D729" t="s">
        <v>82</v>
      </c>
      <c r="E729">
        <v>2</v>
      </c>
      <c r="F729" s="6">
        <f>VLOOKUP(D729,Products!A$2:C$101,3,FALSE)*E729</f>
        <v>64</v>
      </c>
      <c r="G729" t="s">
        <v>396</v>
      </c>
    </row>
    <row r="730" spans="1:7" x14ac:dyDescent="0.25">
      <c r="A730" s="3">
        <v>44319</v>
      </c>
      <c r="B730" s="2" t="str">
        <f t="shared" si="11"/>
        <v>sa-3-5</v>
      </c>
      <c r="C730" t="s">
        <v>347</v>
      </c>
      <c r="D730" t="s">
        <v>17</v>
      </c>
      <c r="E730">
        <v>2</v>
      </c>
      <c r="F730" s="6">
        <f>VLOOKUP(D730,Products!A$2:C$101,3,FALSE)*E730</f>
        <v>64</v>
      </c>
      <c r="G730" t="s">
        <v>408</v>
      </c>
    </row>
    <row r="731" spans="1:7" x14ac:dyDescent="0.25">
      <c r="A731" s="3">
        <v>43972</v>
      </c>
      <c r="B731" s="2" t="str">
        <f t="shared" si="11"/>
        <v>sa-21-5</v>
      </c>
      <c r="C731" t="s">
        <v>332</v>
      </c>
      <c r="D731" t="s">
        <v>88</v>
      </c>
      <c r="E731">
        <v>5</v>
      </c>
      <c r="F731" s="6">
        <f>VLOOKUP(D731,Products!A$2:C$101,3,FALSE)*E731</f>
        <v>85</v>
      </c>
      <c r="G731" t="s">
        <v>405</v>
      </c>
    </row>
    <row r="732" spans="1:7" x14ac:dyDescent="0.25">
      <c r="A732" s="3">
        <v>44566</v>
      </c>
      <c r="B732" s="2" t="str">
        <f t="shared" si="11"/>
        <v>sa-5-1</v>
      </c>
      <c r="C732" t="s">
        <v>345</v>
      </c>
      <c r="D732" t="s">
        <v>89</v>
      </c>
      <c r="E732">
        <v>4</v>
      </c>
      <c r="F732" s="6">
        <f>VLOOKUP(D732,Products!A$2:C$101,3,FALSE)*E732</f>
        <v>80</v>
      </c>
      <c r="G732" t="s">
        <v>405</v>
      </c>
    </row>
    <row r="733" spans="1:7" x14ac:dyDescent="0.25">
      <c r="A733" s="3">
        <v>44402</v>
      </c>
      <c r="B733" s="2" t="str">
        <f t="shared" si="11"/>
        <v>sa-25-7</v>
      </c>
      <c r="C733" t="s">
        <v>341</v>
      </c>
      <c r="D733" t="s">
        <v>88</v>
      </c>
      <c r="E733">
        <v>5</v>
      </c>
      <c r="F733" s="6">
        <f>VLOOKUP(D733,Products!A$2:C$101,3,FALSE)*E733</f>
        <v>85</v>
      </c>
      <c r="G733" t="s">
        <v>403</v>
      </c>
    </row>
    <row r="734" spans="1:7" x14ac:dyDescent="0.25">
      <c r="A734" s="3">
        <v>44559</v>
      </c>
      <c r="B734" s="2" t="str">
        <f t="shared" si="11"/>
        <v>sa-29-12</v>
      </c>
      <c r="C734" t="s">
        <v>336</v>
      </c>
      <c r="D734" t="s">
        <v>43</v>
      </c>
      <c r="E734">
        <v>3</v>
      </c>
      <c r="F734" s="6">
        <f>VLOOKUP(D734,Products!A$2:C$101,3,FALSE)*E734</f>
        <v>99</v>
      </c>
      <c r="G734" t="s">
        <v>397</v>
      </c>
    </row>
    <row r="735" spans="1:7" x14ac:dyDescent="0.25">
      <c r="A735" s="3">
        <v>44568</v>
      </c>
      <c r="B735" s="2" t="str">
        <f t="shared" si="11"/>
        <v>sa-7-1</v>
      </c>
      <c r="C735" t="s">
        <v>330</v>
      </c>
      <c r="D735" t="s">
        <v>62</v>
      </c>
      <c r="E735">
        <v>6</v>
      </c>
      <c r="F735" s="6">
        <f>VLOOKUP(D735,Products!A$2:C$101,3,FALSE)*E735</f>
        <v>192</v>
      </c>
      <c r="G735" t="s">
        <v>402</v>
      </c>
    </row>
    <row r="736" spans="1:7" x14ac:dyDescent="0.25">
      <c r="A736" s="3">
        <v>44587</v>
      </c>
      <c r="B736" s="2" t="str">
        <f t="shared" si="11"/>
        <v>sa-26-1</v>
      </c>
      <c r="C736" t="s">
        <v>311</v>
      </c>
      <c r="D736" t="s">
        <v>3</v>
      </c>
      <c r="E736">
        <v>6</v>
      </c>
      <c r="F736" s="6">
        <f>VLOOKUP(D736,Products!A$2:C$101,3,FALSE)*E736</f>
        <v>444</v>
      </c>
      <c r="G736" t="s">
        <v>398</v>
      </c>
    </row>
    <row r="737" spans="1:7" x14ac:dyDescent="0.25">
      <c r="A737" s="3">
        <v>43938</v>
      </c>
      <c r="B737" s="2" t="str">
        <f t="shared" si="11"/>
        <v>sa-17-4</v>
      </c>
      <c r="C737" t="s">
        <v>347</v>
      </c>
      <c r="D737" t="s">
        <v>7</v>
      </c>
      <c r="E737">
        <v>4</v>
      </c>
      <c r="F737" s="6">
        <f>VLOOKUP(D737,Products!A$2:C$101,3,FALSE)*E737</f>
        <v>296</v>
      </c>
      <c r="G737" t="s">
        <v>399</v>
      </c>
    </row>
    <row r="738" spans="1:7" x14ac:dyDescent="0.25">
      <c r="A738" s="3">
        <v>44125</v>
      </c>
      <c r="B738" s="2" t="str">
        <f t="shared" si="11"/>
        <v>sa-21-10</v>
      </c>
      <c r="C738" t="s">
        <v>328</v>
      </c>
      <c r="D738" t="s">
        <v>48</v>
      </c>
      <c r="E738">
        <v>6</v>
      </c>
      <c r="F738" s="6">
        <f>VLOOKUP(D738,Products!A$2:C$101,3,FALSE)*E738</f>
        <v>198</v>
      </c>
      <c r="G738" t="s">
        <v>397</v>
      </c>
    </row>
    <row r="739" spans="1:7" x14ac:dyDescent="0.25">
      <c r="A739" s="3">
        <v>44695</v>
      </c>
      <c r="B739" s="2" t="str">
        <f t="shared" si="11"/>
        <v>sa-14-5</v>
      </c>
      <c r="C739" t="s">
        <v>317</v>
      </c>
      <c r="D739" t="s">
        <v>74</v>
      </c>
      <c r="E739">
        <v>3</v>
      </c>
      <c r="F739" s="6">
        <f>VLOOKUP(D739,Products!A$2:C$101,3,FALSE)*E739</f>
        <v>102</v>
      </c>
      <c r="G739" t="s">
        <v>403</v>
      </c>
    </row>
    <row r="740" spans="1:7" x14ac:dyDescent="0.25">
      <c r="A740" s="3">
        <v>44499</v>
      </c>
      <c r="B740" s="2" t="str">
        <f t="shared" si="11"/>
        <v>sa-30-10</v>
      </c>
      <c r="C740" t="s">
        <v>340</v>
      </c>
      <c r="D740" t="s">
        <v>69</v>
      </c>
      <c r="E740">
        <v>4</v>
      </c>
      <c r="F740" s="6">
        <f>VLOOKUP(D740,Products!A$2:C$101,3,FALSE)*E740</f>
        <v>120</v>
      </c>
      <c r="G740" t="s">
        <v>395</v>
      </c>
    </row>
    <row r="741" spans="1:7" x14ac:dyDescent="0.25">
      <c r="A741" s="3">
        <v>44396</v>
      </c>
      <c r="B741" s="2" t="str">
        <f t="shared" si="11"/>
        <v>sa-19-7</v>
      </c>
      <c r="C741" t="s">
        <v>314</v>
      </c>
      <c r="D741" t="s">
        <v>2</v>
      </c>
      <c r="E741">
        <v>4</v>
      </c>
      <c r="F741" s="6">
        <f>VLOOKUP(D741,Products!A$2:C$101,3,FALSE)*E741</f>
        <v>264</v>
      </c>
      <c r="G741" t="s">
        <v>402</v>
      </c>
    </row>
    <row r="742" spans="1:7" x14ac:dyDescent="0.25">
      <c r="A742" s="3">
        <v>44307</v>
      </c>
      <c r="B742" s="2" t="str">
        <f t="shared" si="11"/>
        <v>sa-21-4</v>
      </c>
      <c r="C742" t="s">
        <v>319</v>
      </c>
      <c r="D742" t="s">
        <v>66</v>
      </c>
      <c r="E742">
        <v>4</v>
      </c>
      <c r="F742" s="6">
        <f>VLOOKUP(D742,Products!A$2:C$101,3,FALSE)*E742</f>
        <v>120</v>
      </c>
      <c r="G742" t="s">
        <v>408</v>
      </c>
    </row>
    <row r="743" spans="1:7" x14ac:dyDescent="0.25">
      <c r="A743" s="3">
        <v>44053</v>
      </c>
      <c r="B743" s="2" t="str">
        <f t="shared" si="11"/>
        <v>sa-10-8</v>
      </c>
      <c r="C743" t="s">
        <v>354</v>
      </c>
      <c r="D743" t="s">
        <v>77</v>
      </c>
      <c r="E743">
        <v>4</v>
      </c>
      <c r="F743" s="6">
        <f>VLOOKUP(D743,Products!A$2:C$101,3,FALSE)*E743</f>
        <v>136</v>
      </c>
      <c r="G743" t="s">
        <v>405</v>
      </c>
    </row>
    <row r="744" spans="1:7" x14ac:dyDescent="0.25">
      <c r="A744" s="3">
        <v>44339</v>
      </c>
      <c r="B744" s="2" t="str">
        <f t="shared" si="11"/>
        <v>sa-23-5</v>
      </c>
      <c r="C744" t="s">
        <v>335</v>
      </c>
      <c r="D744" t="s">
        <v>60</v>
      </c>
      <c r="E744">
        <v>4</v>
      </c>
      <c r="F744" s="6">
        <f>VLOOKUP(D744,Products!A$2:C$101,3,FALSE)*E744</f>
        <v>120</v>
      </c>
      <c r="G744" t="s">
        <v>408</v>
      </c>
    </row>
    <row r="745" spans="1:7" x14ac:dyDescent="0.25">
      <c r="A745" s="3">
        <v>44125</v>
      </c>
      <c r="B745" s="2" t="str">
        <f t="shared" si="11"/>
        <v>sa-21-10</v>
      </c>
      <c r="C745" t="s">
        <v>325</v>
      </c>
      <c r="D745" t="s">
        <v>66</v>
      </c>
      <c r="E745">
        <v>5</v>
      </c>
      <c r="F745" s="6">
        <f>VLOOKUP(D745,Products!A$2:C$101,3,FALSE)*E745</f>
        <v>150</v>
      </c>
      <c r="G745" t="s">
        <v>401</v>
      </c>
    </row>
    <row r="746" spans="1:7" x14ac:dyDescent="0.25">
      <c r="A746" s="3">
        <v>43853</v>
      </c>
      <c r="B746" s="2" t="str">
        <f t="shared" si="11"/>
        <v>sa-23-1</v>
      </c>
      <c r="C746" t="s">
        <v>355</v>
      </c>
      <c r="D746" t="s">
        <v>22</v>
      </c>
      <c r="E746">
        <v>3</v>
      </c>
      <c r="F746" s="6">
        <f>VLOOKUP(D746,Products!A$2:C$101,3,FALSE)*E746</f>
        <v>102</v>
      </c>
      <c r="G746" t="s">
        <v>402</v>
      </c>
    </row>
    <row r="747" spans="1:7" x14ac:dyDescent="0.25">
      <c r="A747" s="3">
        <v>44079</v>
      </c>
      <c r="B747" s="2" t="str">
        <f t="shared" si="11"/>
        <v>sa-5-9</v>
      </c>
      <c r="C747" t="s">
        <v>327</v>
      </c>
      <c r="D747" t="s">
        <v>65</v>
      </c>
      <c r="E747">
        <v>3</v>
      </c>
      <c r="F747" s="6">
        <f>VLOOKUP(D747,Products!A$2:C$101,3,FALSE)*E747</f>
        <v>96</v>
      </c>
      <c r="G747" t="s">
        <v>396</v>
      </c>
    </row>
    <row r="748" spans="1:7" x14ac:dyDescent="0.25">
      <c r="A748" s="3">
        <v>44588</v>
      </c>
      <c r="B748" s="2" t="str">
        <f t="shared" si="11"/>
        <v>sa-27-1</v>
      </c>
      <c r="C748" t="s">
        <v>332</v>
      </c>
      <c r="D748" t="s">
        <v>36</v>
      </c>
      <c r="E748">
        <v>5</v>
      </c>
      <c r="F748" s="6">
        <f>VLOOKUP(D748,Products!A$2:C$101,3,FALSE)*E748</f>
        <v>170</v>
      </c>
      <c r="G748" t="s">
        <v>398</v>
      </c>
    </row>
    <row r="749" spans="1:7" x14ac:dyDescent="0.25">
      <c r="A749" s="3">
        <v>44197</v>
      </c>
      <c r="B749" s="2" t="str">
        <f t="shared" si="11"/>
        <v>sa-1-1</v>
      </c>
      <c r="C749" t="s">
        <v>317</v>
      </c>
      <c r="D749" t="s">
        <v>3</v>
      </c>
      <c r="E749">
        <v>3</v>
      </c>
      <c r="F749" s="6">
        <f>VLOOKUP(D749,Products!A$2:C$101,3,FALSE)*E749</f>
        <v>222</v>
      </c>
      <c r="G749" t="s">
        <v>405</v>
      </c>
    </row>
    <row r="750" spans="1:7" x14ac:dyDescent="0.25">
      <c r="A750" s="3">
        <v>44489</v>
      </c>
      <c r="B750" s="2" t="str">
        <f t="shared" si="11"/>
        <v>sa-20-10</v>
      </c>
      <c r="C750" t="s">
        <v>347</v>
      </c>
      <c r="D750" t="s">
        <v>95</v>
      </c>
      <c r="E750">
        <v>2</v>
      </c>
      <c r="F750" s="6">
        <f>VLOOKUP(D750,Products!A$2:C$101,3,FALSE)*E750</f>
        <v>24</v>
      </c>
      <c r="G750" t="s">
        <v>406</v>
      </c>
    </row>
    <row r="751" spans="1:7" x14ac:dyDescent="0.25">
      <c r="A751" s="3">
        <v>44299</v>
      </c>
      <c r="B751" s="2" t="str">
        <f t="shared" si="11"/>
        <v>sa-13-4</v>
      </c>
      <c r="C751" t="s">
        <v>330</v>
      </c>
      <c r="D751" t="s">
        <v>10</v>
      </c>
      <c r="E751">
        <v>5</v>
      </c>
      <c r="F751" s="6">
        <f>VLOOKUP(D751,Products!A$2:C$101,3,FALSE)*E751</f>
        <v>360</v>
      </c>
      <c r="G751" t="s">
        <v>397</v>
      </c>
    </row>
    <row r="752" spans="1:7" x14ac:dyDescent="0.25">
      <c r="A752" s="3">
        <v>44277</v>
      </c>
      <c r="B752" s="2" t="str">
        <f t="shared" si="11"/>
        <v>sa-22-3</v>
      </c>
      <c r="C752" t="s">
        <v>309</v>
      </c>
      <c r="D752" t="s">
        <v>70</v>
      </c>
      <c r="E752">
        <v>5</v>
      </c>
      <c r="F752" s="6">
        <f>VLOOKUP(D752,Products!A$2:C$101,3,FALSE)*E752</f>
        <v>175</v>
      </c>
      <c r="G752" t="s">
        <v>403</v>
      </c>
    </row>
    <row r="753" spans="1:7" x14ac:dyDescent="0.25">
      <c r="A753" s="3">
        <v>43855</v>
      </c>
      <c r="B753" s="2" t="str">
        <f t="shared" si="11"/>
        <v>sa-25-1</v>
      </c>
      <c r="C753" t="s">
        <v>313</v>
      </c>
      <c r="D753" t="s">
        <v>98</v>
      </c>
      <c r="E753">
        <v>5</v>
      </c>
      <c r="F753" s="6">
        <f>VLOOKUP(D753,Products!A$2:C$101,3,FALSE)*E753</f>
        <v>95</v>
      </c>
      <c r="G753" t="s">
        <v>408</v>
      </c>
    </row>
    <row r="754" spans="1:7" x14ac:dyDescent="0.25">
      <c r="A754" s="3">
        <v>44288</v>
      </c>
      <c r="B754" s="2" t="str">
        <f t="shared" si="11"/>
        <v>sa-2-4</v>
      </c>
      <c r="C754" t="s">
        <v>321</v>
      </c>
      <c r="D754" t="s">
        <v>81</v>
      </c>
      <c r="E754">
        <v>5</v>
      </c>
      <c r="F754" s="6">
        <f>VLOOKUP(D754,Products!A$2:C$101,3,FALSE)*E754</f>
        <v>160</v>
      </c>
      <c r="G754" t="s">
        <v>396</v>
      </c>
    </row>
    <row r="755" spans="1:7" x14ac:dyDescent="0.25">
      <c r="A755" s="3">
        <v>44051</v>
      </c>
      <c r="B755" s="2" t="str">
        <f t="shared" si="11"/>
        <v>sa-8-8</v>
      </c>
      <c r="C755" t="s">
        <v>308</v>
      </c>
      <c r="D755" t="s">
        <v>81</v>
      </c>
      <c r="E755">
        <v>5</v>
      </c>
      <c r="F755" s="6">
        <f>VLOOKUP(D755,Products!A$2:C$101,3,FALSE)*E755</f>
        <v>160</v>
      </c>
      <c r="G755" t="s">
        <v>404</v>
      </c>
    </row>
    <row r="756" spans="1:7" x14ac:dyDescent="0.25">
      <c r="A756" s="3">
        <v>44633</v>
      </c>
      <c r="B756" s="2" t="str">
        <f t="shared" si="11"/>
        <v>sa-13-3</v>
      </c>
      <c r="C756" t="s">
        <v>332</v>
      </c>
      <c r="D756" t="s">
        <v>31</v>
      </c>
      <c r="E756">
        <v>6</v>
      </c>
      <c r="F756" s="6">
        <f>VLOOKUP(D756,Products!A$2:C$101,3,FALSE)*E756</f>
        <v>192</v>
      </c>
      <c r="G756" t="s">
        <v>401</v>
      </c>
    </row>
    <row r="757" spans="1:7" x14ac:dyDescent="0.25">
      <c r="A757" s="3">
        <v>44400</v>
      </c>
      <c r="B757" s="2" t="str">
        <f t="shared" si="11"/>
        <v>sa-23-7</v>
      </c>
      <c r="C757" t="s">
        <v>354</v>
      </c>
      <c r="D757" t="s">
        <v>76</v>
      </c>
      <c r="E757">
        <v>4</v>
      </c>
      <c r="F757" s="6">
        <f>VLOOKUP(D757,Products!A$2:C$101,3,FALSE)*E757</f>
        <v>136</v>
      </c>
      <c r="G757" t="s">
        <v>401</v>
      </c>
    </row>
    <row r="758" spans="1:7" x14ac:dyDescent="0.25">
      <c r="A758" s="3">
        <v>43942</v>
      </c>
      <c r="B758" s="2" t="str">
        <f t="shared" si="11"/>
        <v>sa-21-4</v>
      </c>
      <c r="C758" t="s">
        <v>348</v>
      </c>
      <c r="D758" t="s">
        <v>94</v>
      </c>
      <c r="E758">
        <v>5</v>
      </c>
      <c r="F758" s="6">
        <f>VLOOKUP(D758,Products!A$2:C$101,3,FALSE)*E758</f>
        <v>95</v>
      </c>
      <c r="G758" t="s">
        <v>406</v>
      </c>
    </row>
    <row r="759" spans="1:7" x14ac:dyDescent="0.25">
      <c r="A759" s="3">
        <v>44414</v>
      </c>
      <c r="B759" s="2" t="str">
        <f t="shared" si="11"/>
        <v>sa-6-8</v>
      </c>
      <c r="C759" t="s">
        <v>346</v>
      </c>
      <c r="D759" t="s">
        <v>32</v>
      </c>
      <c r="E759">
        <v>6</v>
      </c>
      <c r="F759" s="6">
        <f>VLOOKUP(D759,Products!A$2:C$101,3,FALSE)*E759</f>
        <v>204</v>
      </c>
      <c r="G759" t="s">
        <v>397</v>
      </c>
    </row>
    <row r="760" spans="1:7" x14ac:dyDescent="0.25">
      <c r="A760" s="3">
        <v>44145</v>
      </c>
      <c r="B760" s="2" t="str">
        <f t="shared" si="11"/>
        <v>sa-10-11</v>
      </c>
      <c r="C760" t="s">
        <v>318</v>
      </c>
      <c r="D760" t="s">
        <v>29</v>
      </c>
      <c r="E760">
        <v>6</v>
      </c>
      <c r="F760" s="6">
        <f>VLOOKUP(D760,Products!A$2:C$101,3,FALSE)*E760</f>
        <v>186</v>
      </c>
      <c r="G760" t="s">
        <v>396</v>
      </c>
    </row>
    <row r="761" spans="1:7" x14ac:dyDescent="0.25">
      <c r="A761" s="3">
        <v>44520</v>
      </c>
      <c r="B761" s="2" t="str">
        <f t="shared" si="11"/>
        <v>sa-20-11</v>
      </c>
      <c r="C761" t="s">
        <v>329</v>
      </c>
      <c r="D761" t="s">
        <v>22</v>
      </c>
      <c r="E761">
        <v>6</v>
      </c>
      <c r="F761" s="6">
        <f>VLOOKUP(D761,Products!A$2:C$101,3,FALSE)*E761</f>
        <v>204</v>
      </c>
      <c r="G761" t="s">
        <v>407</v>
      </c>
    </row>
    <row r="762" spans="1:7" x14ac:dyDescent="0.25">
      <c r="A762" s="3">
        <v>44684</v>
      </c>
      <c r="B762" s="2" t="str">
        <f t="shared" si="11"/>
        <v>sa-3-5</v>
      </c>
      <c r="C762" t="s">
        <v>307</v>
      </c>
      <c r="D762" t="s">
        <v>30</v>
      </c>
      <c r="E762">
        <v>2</v>
      </c>
      <c r="F762" s="6">
        <f>VLOOKUP(D762,Products!A$2:C$101,3,FALSE)*E762</f>
        <v>70</v>
      </c>
      <c r="G762" t="s">
        <v>406</v>
      </c>
    </row>
    <row r="763" spans="1:7" x14ac:dyDescent="0.25">
      <c r="A763" s="3">
        <v>44612</v>
      </c>
      <c r="B763" s="2" t="str">
        <f t="shared" si="11"/>
        <v>sa-20-2</v>
      </c>
      <c r="C763" t="s">
        <v>318</v>
      </c>
      <c r="D763" t="s">
        <v>43</v>
      </c>
      <c r="E763">
        <v>4</v>
      </c>
      <c r="F763" s="6">
        <f>VLOOKUP(D763,Products!A$2:C$101,3,FALSE)*E763</f>
        <v>132</v>
      </c>
      <c r="G763" t="s">
        <v>401</v>
      </c>
    </row>
    <row r="764" spans="1:7" x14ac:dyDescent="0.25">
      <c r="A764" s="3">
        <v>44735</v>
      </c>
      <c r="B764" s="2" t="str">
        <f t="shared" si="11"/>
        <v>sa-23-6</v>
      </c>
      <c r="C764" t="s">
        <v>307</v>
      </c>
      <c r="D764" t="s">
        <v>43</v>
      </c>
      <c r="E764">
        <v>2</v>
      </c>
      <c r="F764" s="6">
        <f>VLOOKUP(D764,Products!A$2:C$101,3,FALSE)*E764</f>
        <v>66</v>
      </c>
      <c r="G764" t="s">
        <v>399</v>
      </c>
    </row>
    <row r="765" spans="1:7" x14ac:dyDescent="0.25">
      <c r="A765" s="3">
        <v>44326</v>
      </c>
      <c r="B765" s="2" t="str">
        <f t="shared" si="11"/>
        <v>sa-10-5</v>
      </c>
      <c r="C765" t="s">
        <v>318</v>
      </c>
      <c r="D765" t="s">
        <v>34</v>
      </c>
      <c r="E765">
        <v>3</v>
      </c>
      <c r="F765" s="6">
        <f>VLOOKUP(D765,Products!A$2:C$101,3,FALSE)*E765</f>
        <v>105</v>
      </c>
      <c r="G765" t="s">
        <v>399</v>
      </c>
    </row>
    <row r="766" spans="1:7" x14ac:dyDescent="0.25">
      <c r="A766" s="3">
        <v>44625</v>
      </c>
      <c r="B766" s="2" t="str">
        <f t="shared" si="11"/>
        <v>sa-5-3</v>
      </c>
      <c r="C766" t="s">
        <v>341</v>
      </c>
      <c r="D766" t="s">
        <v>55</v>
      </c>
      <c r="E766">
        <v>6</v>
      </c>
      <c r="F766" s="6">
        <f>VLOOKUP(D766,Products!A$2:C$101,3,FALSE)*E766</f>
        <v>192</v>
      </c>
      <c r="G766" t="s">
        <v>408</v>
      </c>
    </row>
    <row r="767" spans="1:7" x14ac:dyDescent="0.25">
      <c r="A767" s="3">
        <v>44607</v>
      </c>
      <c r="B767" s="2" t="str">
        <f t="shared" si="11"/>
        <v>sa-15-2</v>
      </c>
      <c r="C767" t="s">
        <v>316</v>
      </c>
      <c r="D767" t="s">
        <v>4</v>
      </c>
      <c r="E767">
        <v>6</v>
      </c>
      <c r="F767" s="6">
        <f>VLOOKUP(D767,Products!A$2:C$101,3,FALSE)*E767</f>
        <v>426</v>
      </c>
      <c r="G767" t="s">
        <v>401</v>
      </c>
    </row>
    <row r="768" spans="1:7" x14ac:dyDescent="0.25">
      <c r="A768" s="3">
        <v>44519</v>
      </c>
      <c r="B768" s="2" t="str">
        <f t="shared" si="11"/>
        <v>sa-19-11</v>
      </c>
      <c r="C768" t="s">
        <v>352</v>
      </c>
      <c r="D768" t="s">
        <v>61</v>
      </c>
      <c r="E768">
        <v>6</v>
      </c>
      <c r="F768" s="6">
        <f>VLOOKUP(D768,Products!A$2:C$101,3,FALSE)*E768</f>
        <v>186</v>
      </c>
      <c r="G768" t="s">
        <v>399</v>
      </c>
    </row>
    <row r="769" spans="1:7" x14ac:dyDescent="0.25">
      <c r="A769" s="3">
        <v>44416</v>
      </c>
      <c r="B769" s="2" t="str">
        <f t="shared" si="11"/>
        <v>sa-8-8</v>
      </c>
      <c r="C769" t="s">
        <v>328</v>
      </c>
      <c r="D769" t="s">
        <v>49</v>
      </c>
      <c r="E769">
        <v>3</v>
      </c>
      <c r="F769" s="6">
        <f>VLOOKUP(D769,Products!A$2:C$101,3,FALSE)*E769</f>
        <v>99</v>
      </c>
      <c r="G769" t="s">
        <v>396</v>
      </c>
    </row>
    <row r="770" spans="1:7" x14ac:dyDescent="0.25">
      <c r="A770" s="3">
        <v>44565</v>
      </c>
      <c r="B770" s="2" t="str">
        <f t="shared" si="11"/>
        <v>sa-4-1</v>
      </c>
      <c r="C770" t="s">
        <v>353</v>
      </c>
      <c r="D770" t="s">
        <v>81</v>
      </c>
      <c r="E770">
        <v>6</v>
      </c>
      <c r="F770" s="6">
        <f>VLOOKUP(D770,Products!A$2:C$101,3,FALSE)*E770</f>
        <v>192</v>
      </c>
      <c r="G770" t="s">
        <v>401</v>
      </c>
    </row>
    <row r="771" spans="1:7" x14ac:dyDescent="0.25">
      <c r="A771" s="3">
        <v>44091</v>
      </c>
      <c r="B771" s="2" t="str">
        <f t="shared" ref="B771:B834" si="12">"sa-"&amp;DAY(A771)&amp;"-"&amp;MONTH(A771)</f>
        <v>sa-17-9</v>
      </c>
      <c r="C771" t="s">
        <v>325</v>
      </c>
      <c r="D771" t="s">
        <v>69</v>
      </c>
      <c r="E771">
        <v>6</v>
      </c>
      <c r="F771" s="6">
        <f>VLOOKUP(D771,Products!A$2:C$101,3,FALSE)*E771</f>
        <v>180</v>
      </c>
      <c r="G771" t="s">
        <v>396</v>
      </c>
    </row>
    <row r="772" spans="1:7" x14ac:dyDescent="0.25">
      <c r="A772" s="3">
        <v>44129</v>
      </c>
      <c r="B772" s="2" t="str">
        <f t="shared" si="12"/>
        <v>sa-25-10</v>
      </c>
      <c r="C772" t="s">
        <v>329</v>
      </c>
      <c r="D772" t="s">
        <v>31</v>
      </c>
      <c r="E772">
        <v>4</v>
      </c>
      <c r="F772" s="6">
        <f>VLOOKUP(D772,Products!A$2:C$101,3,FALSE)*E772</f>
        <v>128</v>
      </c>
      <c r="G772" t="s">
        <v>405</v>
      </c>
    </row>
    <row r="773" spans="1:7" x14ac:dyDescent="0.25">
      <c r="A773" s="3">
        <v>44228</v>
      </c>
      <c r="B773" s="2" t="str">
        <f t="shared" si="12"/>
        <v>sa-1-2</v>
      </c>
      <c r="C773" t="s">
        <v>307</v>
      </c>
      <c r="D773" t="s">
        <v>81</v>
      </c>
      <c r="E773">
        <v>3</v>
      </c>
      <c r="F773" s="6">
        <f>VLOOKUP(D773,Products!A$2:C$101,3,FALSE)*E773</f>
        <v>96</v>
      </c>
      <c r="G773" t="s">
        <v>407</v>
      </c>
    </row>
    <row r="774" spans="1:7" x14ac:dyDescent="0.25">
      <c r="A774" s="3">
        <v>44428</v>
      </c>
      <c r="B774" s="2" t="str">
        <f t="shared" si="12"/>
        <v>sa-20-8</v>
      </c>
      <c r="C774" t="s">
        <v>352</v>
      </c>
      <c r="D774" t="s">
        <v>41</v>
      </c>
      <c r="E774">
        <v>6</v>
      </c>
      <c r="F774" s="6">
        <f>VLOOKUP(D774,Products!A$2:C$101,3,FALSE)*E774</f>
        <v>198</v>
      </c>
      <c r="G774" t="s">
        <v>404</v>
      </c>
    </row>
    <row r="775" spans="1:7" x14ac:dyDescent="0.25">
      <c r="A775" s="3">
        <v>44615</v>
      </c>
      <c r="B775" s="2" t="str">
        <f t="shared" si="12"/>
        <v>sa-23-2</v>
      </c>
      <c r="C775" t="s">
        <v>342</v>
      </c>
      <c r="D775" t="s">
        <v>72</v>
      </c>
      <c r="E775">
        <v>4</v>
      </c>
      <c r="F775" s="6">
        <f>VLOOKUP(D775,Products!A$2:C$101,3,FALSE)*E775</f>
        <v>124</v>
      </c>
      <c r="G775" t="s">
        <v>403</v>
      </c>
    </row>
    <row r="776" spans="1:7" x14ac:dyDescent="0.25">
      <c r="A776" s="3">
        <v>44103</v>
      </c>
      <c r="B776" s="2" t="str">
        <f t="shared" si="12"/>
        <v>sa-29-9</v>
      </c>
      <c r="C776" t="s">
        <v>309</v>
      </c>
      <c r="D776" t="s">
        <v>50</v>
      </c>
      <c r="E776">
        <v>5</v>
      </c>
      <c r="F776" s="6">
        <f>VLOOKUP(D776,Products!A$2:C$101,3,FALSE)*E776</f>
        <v>160</v>
      </c>
      <c r="G776" t="s">
        <v>407</v>
      </c>
    </row>
    <row r="777" spans="1:7" x14ac:dyDescent="0.25">
      <c r="A777" s="3">
        <v>43900</v>
      </c>
      <c r="B777" s="2" t="str">
        <f t="shared" si="12"/>
        <v>sa-10-3</v>
      </c>
      <c r="C777" t="s">
        <v>336</v>
      </c>
      <c r="D777" t="s">
        <v>89</v>
      </c>
      <c r="E777">
        <v>3</v>
      </c>
      <c r="F777" s="6">
        <f>VLOOKUP(D777,Products!A$2:C$101,3,FALSE)*E777</f>
        <v>60</v>
      </c>
      <c r="G777" t="s">
        <v>396</v>
      </c>
    </row>
    <row r="778" spans="1:7" x14ac:dyDescent="0.25">
      <c r="A778" s="3">
        <v>44618</v>
      </c>
      <c r="B778" s="2" t="str">
        <f t="shared" si="12"/>
        <v>sa-26-2</v>
      </c>
      <c r="C778" t="s">
        <v>314</v>
      </c>
      <c r="D778" t="s">
        <v>99</v>
      </c>
      <c r="E778">
        <v>3</v>
      </c>
      <c r="F778" s="6">
        <f>VLOOKUP(D778,Products!A$2:C$101,3,FALSE)*E778</f>
        <v>45</v>
      </c>
      <c r="G778" t="s">
        <v>402</v>
      </c>
    </row>
    <row r="779" spans="1:7" x14ac:dyDescent="0.25">
      <c r="A779" s="3">
        <v>44145</v>
      </c>
      <c r="B779" s="2" t="str">
        <f t="shared" si="12"/>
        <v>sa-10-11</v>
      </c>
      <c r="C779" t="s">
        <v>311</v>
      </c>
      <c r="D779" t="s">
        <v>6</v>
      </c>
      <c r="E779">
        <v>3</v>
      </c>
      <c r="F779" s="6">
        <f>VLOOKUP(D779,Products!A$2:C$101,3,FALSE)*E779</f>
        <v>207</v>
      </c>
      <c r="G779" t="s">
        <v>404</v>
      </c>
    </row>
    <row r="780" spans="1:7" x14ac:dyDescent="0.25">
      <c r="A780" s="3">
        <v>44297</v>
      </c>
      <c r="B780" s="2" t="str">
        <f t="shared" si="12"/>
        <v>sa-11-4</v>
      </c>
      <c r="C780" t="s">
        <v>314</v>
      </c>
      <c r="D780" t="s">
        <v>98</v>
      </c>
      <c r="E780">
        <v>3</v>
      </c>
      <c r="F780" s="6">
        <f>VLOOKUP(D780,Products!A$2:C$101,3,FALSE)*E780</f>
        <v>57</v>
      </c>
      <c r="G780" t="s">
        <v>401</v>
      </c>
    </row>
    <row r="781" spans="1:7" x14ac:dyDescent="0.25">
      <c r="A781" s="3">
        <v>44528</v>
      </c>
      <c r="B781" s="2" t="str">
        <f t="shared" si="12"/>
        <v>sa-28-11</v>
      </c>
      <c r="C781" t="s">
        <v>307</v>
      </c>
      <c r="D781" t="s">
        <v>61</v>
      </c>
      <c r="E781">
        <v>5</v>
      </c>
      <c r="F781" s="6">
        <f>VLOOKUP(D781,Products!A$2:C$101,3,FALSE)*E781</f>
        <v>155</v>
      </c>
      <c r="G781" t="s">
        <v>399</v>
      </c>
    </row>
    <row r="782" spans="1:7" x14ac:dyDescent="0.25">
      <c r="A782" s="3">
        <v>44118</v>
      </c>
      <c r="B782" s="2" t="str">
        <f t="shared" si="12"/>
        <v>sa-14-10</v>
      </c>
      <c r="C782" t="s">
        <v>335</v>
      </c>
      <c r="D782" t="s">
        <v>83</v>
      </c>
      <c r="E782">
        <v>3</v>
      </c>
      <c r="F782" s="6">
        <f>VLOOKUP(D782,Products!A$2:C$101,3,FALSE)*E782</f>
        <v>90</v>
      </c>
      <c r="G782" t="s">
        <v>398</v>
      </c>
    </row>
    <row r="783" spans="1:7" x14ac:dyDescent="0.25">
      <c r="A783" s="3">
        <v>44440</v>
      </c>
      <c r="B783" s="2" t="str">
        <f t="shared" si="12"/>
        <v>sa-1-9</v>
      </c>
      <c r="C783" t="s">
        <v>355</v>
      </c>
      <c r="D783" t="s">
        <v>17</v>
      </c>
      <c r="E783">
        <v>3</v>
      </c>
      <c r="F783" s="6">
        <f>VLOOKUP(D783,Products!A$2:C$101,3,FALSE)*E783</f>
        <v>96</v>
      </c>
      <c r="G783" t="s">
        <v>404</v>
      </c>
    </row>
    <row r="784" spans="1:7" x14ac:dyDescent="0.25">
      <c r="A784" s="3">
        <v>44729</v>
      </c>
      <c r="B784" s="2" t="str">
        <f t="shared" si="12"/>
        <v>sa-17-6</v>
      </c>
      <c r="C784" t="s">
        <v>355</v>
      </c>
      <c r="D784" t="s">
        <v>42</v>
      </c>
      <c r="E784">
        <v>6</v>
      </c>
      <c r="F784" s="6">
        <f>VLOOKUP(D784,Products!A$2:C$101,3,FALSE)*E784</f>
        <v>204</v>
      </c>
      <c r="G784" t="s">
        <v>398</v>
      </c>
    </row>
    <row r="785" spans="1:7" x14ac:dyDescent="0.25">
      <c r="A785" s="3">
        <v>44272</v>
      </c>
      <c r="B785" s="2" t="str">
        <f t="shared" si="12"/>
        <v>sa-17-3</v>
      </c>
      <c r="C785" t="s">
        <v>314</v>
      </c>
      <c r="D785" t="s">
        <v>52</v>
      </c>
      <c r="E785">
        <v>2</v>
      </c>
      <c r="F785" s="6">
        <f>VLOOKUP(D785,Products!A$2:C$101,3,FALSE)*E785</f>
        <v>66</v>
      </c>
      <c r="G785" t="s">
        <v>398</v>
      </c>
    </row>
    <row r="786" spans="1:7" x14ac:dyDescent="0.25">
      <c r="A786" s="3">
        <v>44088</v>
      </c>
      <c r="B786" s="2" t="str">
        <f t="shared" si="12"/>
        <v>sa-14-9</v>
      </c>
      <c r="C786" t="s">
        <v>346</v>
      </c>
      <c r="D786" t="s">
        <v>40</v>
      </c>
      <c r="E786">
        <v>3</v>
      </c>
      <c r="F786" s="6">
        <f>VLOOKUP(D786,Products!A$2:C$101,3,FALSE)*E786</f>
        <v>102</v>
      </c>
      <c r="G786" t="s">
        <v>400</v>
      </c>
    </row>
    <row r="787" spans="1:7" x14ac:dyDescent="0.25">
      <c r="A787" s="3">
        <v>44127</v>
      </c>
      <c r="B787" s="2" t="str">
        <f t="shared" si="12"/>
        <v>sa-23-10</v>
      </c>
      <c r="C787" t="s">
        <v>345</v>
      </c>
      <c r="D787" t="s">
        <v>47</v>
      </c>
      <c r="E787">
        <v>3</v>
      </c>
      <c r="F787" s="6">
        <f>VLOOKUP(D787,Products!A$2:C$101,3,FALSE)*E787</f>
        <v>96</v>
      </c>
      <c r="G787" t="s">
        <v>395</v>
      </c>
    </row>
    <row r="788" spans="1:7" x14ac:dyDescent="0.25">
      <c r="A788" s="3">
        <v>44566</v>
      </c>
      <c r="B788" s="2" t="str">
        <f t="shared" si="12"/>
        <v>sa-5-1</v>
      </c>
      <c r="C788" t="s">
        <v>354</v>
      </c>
      <c r="D788" t="s">
        <v>12</v>
      </c>
      <c r="E788">
        <v>5</v>
      </c>
      <c r="F788" s="6">
        <f>VLOOKUP(D788,Products!A$2:C$101,3,FALSE)*E788</f>
        <v>370</v>
      </c>
      <c r="G788" t="s">
        <v>408</v>
      </c>
    </row>
    <row r="789" spans="1:7" x14ac:dyDescent="0.25">
      <c r="A789" s="3">
        <v>44282</v>
      </c>
      <c r="B789" s="2" t="str">
        <f t="shared" si="12"/>
        <v>sa-27-3</v>
      </c>
      <c r="C789" t="s">
        <v>354</v>
      </c>
      <c r="D789" t="s">
        <v>41</v>
      </c>
      <c r="E789">
        <v>3</v>
      </c>
      <c r="F789" s="6">
        <f>VLOOKUP(D789,Products!A$2:C$101,3,FALSE)*E789</f>
        <v>99</v>
      </c>
      <c r="G789" t="s">
        <v>408</v>
      </c>
    </row>
    <row r="790" spans="1:7" x14ac:dyDescent="0.25">
      <c r="A790" s="3">
        <v>44600</v>
      </c>
      <c r="B790" s="2" t="str">
        <f t="shared" si="12"/>
        <v>sa-8-2</v>
      </c>
      <c r="C790" t="s">
        <v>337</v>
      </c>
      <c r="D790" t="s">
        <v>37</v>
      </c>
      <c r="E790">
        <v>5</v>
      </c>
      <c r="F790" s="6">
        <f>VLOOKUP(D790,Products!A$2:C$101,3,FALSE)*E790</f>
        <v>165</v>
      </c>
      <c r="G790" t="s">
        <v>406</v>
      </c>
    </row>
    <row r="791" spans="1:7" x14ac:dyDescent="0.25">
      <c r="A791" s="3">
        <v>44498</v>
      </c>
      <c r="B791" s="2" t="str">
        <f t="shared" si="12"/>
        <v>sa-29-10</v>
      </c>
      <c r="C791" t="s">
        <v>322</v>
      </c>
      <c r="D791" t="s">
        <v>79</v>
      </c>
      <c r="E791">
        <v>4</v>
      </c>
      <c r="F791" s="6">
        <f>VLOOKUP(D791,Products!A$2:C$101,3,FALSE)*E791</f>
        <v>136</v>
      </c>
      <c r="G791" t="s">
        <v>408</v>
      </c>
    </row>
    <row r="792" spans="1:7" x14ac:dyDescent="0.25">
      <c r="A792" s="3">
        <v>44698</v>
      </c>
      <c r="B792" s="2" t="str">
        <f t="shared" si="12"/>
        <v>sa-17-5</v>
      </c>
      <c r="C792" t="s">
        <v>316</v>
      </c>
      <c r="D792" t="s">
        <v>69</v>
      </c>
      <c r="E792">
        <v>5</v>
      </c>
      <c r="F792" s="6">
        <f>VLOOKUP(D792,Products!A$2:C$101,3,FALSE)*E792</f>
        <v>150</v>
      </c>
      <c r="G792" t="s">
        <v>398</v>
      </c>
    </row>
    <row r="793" spans="1:7" x14ac:dyDescent="0.25">
      <c r="A793" s="3">
        <v>44395</v>
      </c>
      <c r="B793" s="2" t="str">
        <f t="shared" si="12"/>
        <v>sa-18-7</v>
      </c>
      <c r="C793" t="s">
        <v>328</v>
      </c>
      <c r="D793" t="s">
        <v>63</v>
      </c>
      <c r="E793">
        <v>4</v>
      </c>
      <c r="F793" s="6">
        <f>VLOOKUP(D793,Products!A$2:C$101,3,FALSE)*E793</f>
        <v>132</v>
      </c>
      <c r="G793" t="s">
        <v>398</v>
      </c>
    </row>
    <row r="794" spans="1:7" x14ac:dyDescent="0.25">
      <c r="A794" s="3">
        <v>44277</v>
      </c>
      <c r="B794" s="2" t="str">
        <f t="shared" si="12"/>
        <v>sa-22-3</v>
      </c>
      <c r="C794" t="s">
        <v>321</v>
      </c>
      <c r="D794" t="s">
        <v>92</v>
      </c>
      <c r="E794">
        <v>2</v>
      </c>
      <c r="F794" s="6">
        <f>VLOOKUP(D794,Products!A$2:C$101,3,FALSE)*E794</f>
        <v>28</v>
      </c>
      <c r="G794" t="s">
        <v>401</v>
      </c>
    </row>
    <row r="795" spans="1:7" x14ac:dyDescent="0.25">
      <c r="A795" s="3">
        <v>44735</v>
      </c>
      <c r="B795" s="2" t="str">
        <f t="shared" si="12"/>
        <v>sa-23-6</v>
      </c>
      <c r="C795" t="s">
        <v>317</v>
      </c>
      <c r="D795" t="s">
        <v>43</v>
      </c>
      <c r="E795">
        <v>6</v>
      </c>
      <c r="F795" s="6">
        <f>VLOOKUP(D795,Products!A$2:C$101,3,FALSE)*E795</f>
        <v>198</v>
      </c>
      <c r="G795" t="s">
        <v>399</v>
      </c>
    </row>
    <row r="796" spans="1:7" x14ac:dyDescent="0.25">
      <c r="A796" s="3">
        <v>44587</v>
      </c>
      <c r="B796" s="2" t="str">
        <f t="shared" si="12"/>
        <v>sa-26-1</v>
      </c>
      <c r="C796" t="s">
        <v>351</v>
      </c>
      <c r="D796" t="s">
        <v>42</v>
      </c>
      <c r="E796">
        <v>4</v>
      </c>
      <c r="F796" s="6">
        <f>VLOOKUP(D796,Products!A$2:C$101,3,FALSE)*E796</f>
        <v>136</v>
      </c>
      <c r="G796" t="s">
        <v>405</v>
      </c>
    </row>
    <row r="797" spans="1:7" x14ac:dyDescent="0.25">
      <c r="A797" s="3">
        <v>44072</v>
      </c>
      <c r="B797" s="2" t="str">
        <f t="shared" si="12"/>
        <v>sa-29-8</v>
      </c>
      <c r="C797" t="s">
        <v>349</v>
      </c>
      <c r="D797" t="s">
        <v>12</v>
      </c>
      <c r="E797">
        <v>2</v>
      </c>
      <c r="F797" s="6">
        <f>VLOOKUP(D797,Products!A$2:C$101,3,FALSE)*E797</f>
        <v>148</v>
      </c>
      <c r="G797" t="s">
        <v>408</v>
      </c>
    </row>
    <row r="798" spans="1:7" x14ac:dyDescent="0.25">
      <c r="A798" s="3">
        <v>44090</v>
      </c>
      <c r="B798" s="2" t="str">
        <f t="shared" si="12"/>
        <v>sa-16-9</v>
      </c>
      <c r="C798" t="s">
        <v>349</v>
      </c>
      <c r="D798" t="s">
        <v>83</v>
      </c>
      <c r="E798">
        <v>4</v>
      </c>
      <c r="F798" s="6">
        <f>VLOOKUP(D798,Products!A$2:C$101,3,FALSE)*E798</f>
        <v>120</v>
      </c>
      <c r="G798" t="s">
        <v>397</v>
      </c>
    </row>
    <row r="799" spans="1:7" x14ac:dyDescent="0.25">
      <c r="A799" s="3">
        <v>44044</v>
      </c>
      <c r="B799" s="2" t="str">
        <f t="shared" si="12"/>
        <v>sa-1-8</v>
      </c>
      <c r="C799" t="s">
        <v>342</v>
      </c>
      <c r="D799" t="s">
        <v>27</v>
      </c>
      <c r="E799">
        <v>4</v>
      </c>
      <c r="F799" s="6">
        <f>VLOOKUP(D799,Products!A$2:C$101,3,FALSE)*E799</f>
        <v>136</v>
      </c>
      <c r="G799" t="s">
        <v>402</v>
      </c>
    </row>
    <row r="800" spans="1:7" x14ac:dyDescent="0.25">
      <c r="A800" s="3">
        <v>43846</v>
      </c>
      <c r="B800" s="2" t="str">
        <f t="shared" si="12"/>
        <v>sa-16-1</v>
      </c>
      <c r="C800" t="s">
        <v>315</v>
      </c>
      <c r="D800" t="s">
        <v>91</v>
      </c>
      <c r="E800">
        <v>4</v>
      </c>
      <c r="F800" s="6">
        <f>VLOOKUP(D800,Products!A$2:C$101,3,FALSE)*E800</f>
        <v>68</v>
      </c>
      <c r="G800" t="s">
        <v>400</v>
      </c>
    </row>
    <row r="801" spans="1:7" x14ac:dyDescent="0.25">
      <c r="A801" s="3">
        <v>44499</v>
      </c>
      <c r="B801" s="2" t="str">
        <f t="shared" si="12"/>
        <v>sa-30-10</v>
      </c>
      <c r="C801" t="s">
        <v>342</v>
      </c>
      <c r="D801" t="s">
        <v>91</v>
      </c>
      <c r="E801">
        <v>4</v>
      </c>
      <c r="F801" s="6">
        <f>VLOOKUP(D801,Products!A$2:C$101,3,FALSE)*E801</f>
        <v>68</v>
      </c>
      <c r="G801" t="s">
        <v>397</v>
      </c>
    </row>
    <row r="802" spans="1:7" x14ac:dyDescent="0.25">
      <c r="A802" s="3">
        <v>44173</v>
      </c>
      <c r="B802" s="2" t="str">
        <f t="shared" si="12"/>
        <v>sa-8-12</v>
      </c>
      <c r="C802" t="s">
        <v>331</v>
      </c>
      <c r="D802" t="s">
        <v>36</v>
      </c>
      <c r="E802">
        <v>6</v>
      </c>
      <c r="F802" s="6">
        <f>VLOOKUP(D802,Products!A$2:C$101,3,FALSE)*E802</f>
        <v>204</v>
      </c>
      <c r="G802" t="s">
        <v>395</v>
      </c>
    </row>
    <row r="803" spans="1:7" x14ac:dyDescent="0.25">
      <c r="A803" s="3">
        <v>44566</v>
      </c>
      <c r="B803" s="2" t="str">
        <f t="shared" si="12"/>
        <v>sa-5-1</v>
      </c>
      <c r="C803" t="s">
        <v>349</v>
      </c>
      <c r="D803" t="s">
        <v>58</v>
      </c>
      <c r="E803">
        <v>5</v>
      </c>
      <c r="F803" s="6">
        <f>VLOOKUP(D803,Products!A$2:C$101,3,FALSE)*E803</f>
        <v>175</v>
      </c>
      <c r="G803" t="s">
        <v>399</v>
      </c>
    </row>
    <row r="804" spans="1:7" x14ac:dyDescent="0.25">
      <c r="A804" s="3">
        <v>44619</v>
      </c>
      <c r="B804" s="2" t="str">
        <f t="shared" si="12"/>
        <v>sa-27-2</v>
      </c>
      <c r="C804" t="s">
        <v>341</v>
      </c>
      <c r="D804" t="s">
        <v>83</v>
      </c>
      <c r="E804">
        <v>6</v>
      </c>
      <c r="F804" s="6">
        <f>VLOOKUP(D804,Products!A$2:C$101,3,FALSE)*E804</f>
        <v>180</v>
      </c>
      <c r="G804" t="s">
        <v>407</v>
      </c>
    </row>
    <row r="805" spans="1:7" x14ac:dyDescent="0.25">
      <c r="A805" s="3">
        <v>43892</v>
      </c>
      <c r="B805" s="2" t="str">
        <f t="shared" si="12"/>
        <v>sa-2-3</v>
      </c>
      <c r="C805" t="s">
        <v>307</v>
      </c>
      <c r="D805" t="s">
        <v>78</v>
      </c>
      <c r="E805">
        <v>4</v>
      </c>
      <c r="F805" s="6">
        <f>VLOOKUP(D805,Products!A$2:C$101,3,FALSE)*E805</f>
        <v>136</v>
      </c>
      <c r="G805" t="s">
        <v>404</v>
      </c>
    </row>
    <row r="806" spans="1:7" x14ac:dyDescent="0.25">
      <c r="A806" s="3">
        <v>43880</v>
      </c>
      <c r="B806" s="2" t="str">
        <f t="shared" si="12"/>
        <v>sa-19-2</v>
      </c>
      <c r="C806" t="s">
        <v>350</v>
      </c>
      <c r="D806" t="s">
        <v>74</v>
      </c>
      <c r="E806">
        <v>3</v>
      </c>
      <c r="F806" s="6">
        <f>VLOOKUP(D806,Products!A$2:C$101,3,FALSE)*E806</f>
        <v>102</v>
      </c>
      <c r="G806" t="s">
        <v>395</v>
      </c>
    </row>
    <row r="807" spans="1:7" x14ac:dyDescent="0.25">
      <c r="A807" s="3">
        <v>44576</v>
      </c>
      <c r="B807" s="2" t="str">
        <f t="shared" si="12"/>
        <v>sa-15-1</v>
      </c>
      <c r="C807" t="s">
        <v>323</v>
      </c>
      <c r="D807" t="s">
        <v>10</v>
      </c>
      <c r="E807">
        <v>3</v>
      </c>
      <c r="F807" s="6">
        <f>VLOOKUP(D807,Products!A$2:C$101,3,FALSE)*E807</f>
        <v>216</v>
      </c>
      <c r="G807" t="s">
        <v>407</v>
      </c>
    </row>
    <row r="808" spans="1:7" x14ac:dyDescent="0.25">
      <c r="A808" s="3">
        <v>44293</v>
      </c>
      <c r="B808" s="2" t="str">
        <f t="shared" si="12"/>
        <v>sa-7-4</v>
      </c>
      <c r="C808" t="s">
        <v>312</v>
      </c>
      <c r="D808" t="s">
        <v>38</v>
      </c>
      <c r="E808">
        <v>6</v>
      </c>
      <c r="F808" s="6">
        <f>VLOOKUP(D808,Products!A$2:C$101,3,FALSE)*E808</f>
        <v>192</v>
      </c>
      <c r="G808" t="s">
        <v>404</v>
      </c>
    </row>
    <row r="809" spans="1:7" x14ac:dyDescent="0.25">
      <c r="A809" s="3">
        <v>44600</v>
      </c>
      <c r="B809" s="2" t="str">
        <f t="shared" si="12"/>
        <v>sa-8-2</v>
      </c>
      <c r="C809" t="s">
        <v>339</v>
      </c>
      <c r="D809" t="s">
        <v>92</v>
      </c>
      <c r="E809">
        <v>2</v>
      </c>
      <c r="F809" s="6">
        <f>VLOOKUP(D809,Products!A$2:C$101,3,FALSE)*E809</f>
        <v>28</v>
      </c>
      <c r="G809" t="s">
        <v>397</v>
      </c>
    </row>
    <row r="810" spans="1:7" x14ac:dyDescent="0.25">
      <c r="A810" s="3">
        <v>44498</v>
      </c>
      <c r="B810" s="2" t="str">
        <f t="shared" si="12"/>
        <v>sa-29-10</v>
      </c>
      <c r="C810" t="s">
        <v>308</v>
      </c>
      <c r="D810" t="s">
        <v>13</v>
      </c>
      <c r="E810">
        <v>2</v>
      </c>
      <c r="F810" s="6">
        <f>VLOOKUP(D810,Products!A$2:C$101,3,FALSE)*E810</f>
        <v>142</v>
      </c>
      <c r="G810" t="s">
        <v>408</v>
      </c>
    </row>
    <row r="811" spans="1:7" x14ac:dyDescent="0.25">
      <c r="A811" s="3">
        <v>44515</v>
      </c>
      <c r="B811" s="2" t="str">
        <f t="shared" si="12"/>
        <v>sa-15-11</v>
      </c>
      <c r="C811" t="s">
        <v>331</v>
      </c>
      <c r="D811" t="s">
        <v>36</v>
      </c>
      <c r="E811">
        <v>6</v>
      </c>
      <c r="F811" s="6">
        <f>VLOOKUP(D811,Products!A$2:C$101,3,FALSE)*E811</f>
        <v>204</v>
      </c>
      <c r="G811" t="s">
        <v>400</v>
      </c>
    </row>
    <row r="812" spans="1:7" x14ac:dyDescent="0.25">
      <c r="A812" s="3">
        <v>44602</v>
      </c>
      <c r="B812" s="2" t="str">
        <f t="shared" si="12"/>
        <v>sa-10-2</v>
      </c>
      <c r="C812" t="s">
        <v>310</v>
      </c>
      <c r="D812" t="s">
        <v>7</v>
      </c>
      <c r="E812">
        <v>6</v>
      </c>
      <c r="F812" s="6">
        <f>VLOOKUP(D812,Products!A$2:C$101,3,FALSE)*E812</f>
        <v>444</v>
      </c>
      <c r="G812" t="s">
        <v>403</v>
      </c>
    </row>
    <row r="813" spans="1:7" x14ac:dyDescent="0.25">
      <c r="A813" s="3">
        <v>44514</v>
      </c>
      <c r="B813" s="2" t="str">
        <f t="shared" si="12"/>
        <v>sa-14-11</v>
      </c>
      <c r="C813" t="s">
        <v>354</v>
      </c>
      <c r="D813" t="s">
        <v>32</v>
      </c>
      <c r="E813">
        <v>6</v>
      </c>
      <c r="F813" s="6">
        <f>VLOOKUP(D813,Products!A$2:C$101,3,FALSE)*E813</f>
        <v>204</v>
      </c>
      <c r="G813" t="s">
        <v>403</v>
      </c>
    </row>
    <row r="814" spans="1:7" x14ac:dyDescent="0.25">
      <c r="A814" s="3">
        <v>44368</v>
      </c>
      <c r="B814" s="2" t="str">
        <f t="shared" si="12"/>
        <v>sa-21-6</v>
      </c>
      <c r="C814" t="s">
        <v>348</v>
      </c>
      <c r="D814" t="s">
        <v>60</v>
      </c>
      <c r="E814">
        <v>3</v>
      </c>
      <c r="F814" s="6">
        <f>VLOOKUP(D814,Products!A$2:C$101,3,FALSE)*E814</f>
        <v>90</v>
      </c>
      <c r="G814" t="s">
        <v>408</v>
      </c>
    </row>
    <row r="815" spans="1:7" x14ac:dyDescent="0.25">
      <c r="A815" s="3">
        <v>44737</v>
      </c>
      <c r="B815" s="2" t="str">
        <f t="shared" si="12"/>
        <v>sa-25-6</v>
      </c>
      <c r="C815" t="s">
        <v>334</v>
      </c>
      <c r="D815" t="s">
        <v>84</v>
      </c>
      <c r="E815">
        <v>4</v>
      </c>
      <c r="F815" s="6">
        <f>VLOOKUP(D815,Products!A$2:C$101,3,FALSE)*E815</f>
        <v>140</v>
      </c>
      <c r="G815" t="s">
        <v>406</v>
      </c>
    </row>
    <row r="816" spans="1:7" x14ac:dyDescent="0.25">
      <c r="A816" s="3">
        <v>43854</v>
      </c>
      <c r="B816" s="2" t="str">
        <f t="shared" si="12"/>
        <v>sa-24-1</v>
      </c>
      <c r="C816" t="s">
        <v>325</v>
      </c>
      <c r="D816" t="s">
        <v>64</v>
      </c>
      <c r="E816">
        <v>5</v>
      </c>
      <c r="F816" s="6">
        <f>VLOOKUP(D816,Products!A$2:C$101,3,FALSE)*E816</f>
        <v>175</v>
      </c>
      <c r="G816" t="s">
        <v>406</v>
      </c>
    </row>
    <row r="817" spans="1:7" x14ac:dyDescent="0.25">
      <c r="A817" s="3">
        <v>44527</v>
      </c>
      <c r="B817" s="2" t="str">
        <f t="shared" si="12"/>
        <v>sa-27-11</v>
      </c>
      <c r="C817" t="s">
        <v>328</v>
      </c>
      <c r="D817" t="s">
        <v>95</v>
      </c>
      <c r="E817">
        <v>3</v>
      </c>
      <c r="F817" s="6">
        <f>VLOOKUP(D817,Products!A$2:C$101,3,FALSE)*E817</f>
        <v>36</v>
      </c>
      <c r="G817" t="s">
        <v>407</v>
      </c>
    </row>
    <row r="818" spans="1:7" x14ac:dyDescent="0.25">
      <c r="A818" s="3">
        <v>44069</v>
      </c>
      <c r="B818" s="2" t="str">
        <f t="shared" si="12"/>
        <v>sa-26-8</v>
      </c>
      <c r="C818" t="s">
        <v>321</v>
      </c>
      <c r="D818" t="s">
        <v>67</v>
      </c>
      <c r="E818">
        <v>6</v>
      </c>
      <c r="F818" s="6">
        <f>VLOOKUP(D818,Products!A$2:C$101,3,FALSE)*E818</f>
        <v>192</v>
      </c>
      <c r="G818" t="s">
        <v>395</v>
      </c>
    </row>
    <row r="819" spans="1:7" x14ac:dyDescent="0.25">
      <c r="A819" s="3">
        <v>44089</v>
      </c>
      <c r="B819" s="2" t="str">
        <f t="shared" si="12"/>
        <v>sa-15-9</v>
      </c>
      <c r="C819" t="s">
        <v>329</v>
      </c>
      <c r="D819" t="s">
        <v>10</v>
      </c>
      <c r="E819">
        <v>5</v>
      </c>
      <c r="F819" s="6">
        <f>VLOOKUP(D819,Products!A$2:C$101,3,FALSE)*E819</f>
        <v>360</v>
      </c>
      <c r="G819" t="s">
        <v>408</v>
      </c>
    </row>
    <row r="820" spans="1:7" x14ac:dyDescent="0.25">
      <c r="A820" s="3">
        <v>44654</v>
      </c>
      <c r="B820" s="2" t="str">
        <f t="shared" si="12"/>
        <v>sa-3-4</v>
      </c>
      <c r="C820" t="s">
        <v>311</v>
      </c>
      <c r="D820" t="s">
        <v>55</v>
      </c>
      <c r="E820">
        <v>2</v>
      </c>
      <c r="F820" s="6">
        <f>VLOOKUP(D820,Products!A$2:C$101,3,FALSE)*E820</f>
        <v>64</v>
      </c>
      <c r="G820" t="s">
        <v>396</v>
      </c>
    </row>
    <row r="821" spans="1:7" x14ac:dyDescent="0.25">
      <c r="A821" s="3">
        <v>44417</v>
      </c>
      <c r="B821" s="2" t="str">
        <f t="shared" si="12"/>
        <v>sa-9-8</v>
      </c>
      <c r="C821" t="s">
        <v>321</v>
      </c>
      <c r="D821" t="s">
        <v>18</v>
      </c>
      <c r="E821">
        <v>2</v>
      </c>
      <c r="F821" s="6">
        <f>VLOOKUP(D821,Products!A$2:C$101,3,FALSE)*E821</f>
        <v>70</v>
      </c>
      <c r="G821" t="s">
        <v>396</v>
      </c>
    </row>
    <row r="822" spans="1:7" x14ac:dyDescent="0.25">
      <c r="A822" s="3">
        <v>44179</v>
      </c>
      <c r="B822" s="2" t="str">
        <f t="shared" si="12"/>
        <v>sa-14-12</v>
      </c>
      <c r="C822" t="s">
        <v>325</v>
      </c>
      <c r="D822" t="s">
        <v>88</v>
      </c>
      <c r="E822">
        <v>3</v>
      </c>
      <c r="F822" s="6">
        <f>VLOOKUP(D822,Products!A$2:C$101,3,FALSE)*E822</f>
        <v>51</v>
      </c>
      <c r="G822" t="s">
        <v>408</v>
      </c>
    </row>
    <row r="823" spans="1:7" x14ac:dyDescent="0.25">
      <c r="A823" s="3">
        <v>44474</v>
      </c>
      <c r="B823" s="2" t="str">
        <f t="shared" si="12"/>
        <v>sa-5-10</v>
      </c>
      <c r="C823" t="s">
        <v>340</v>
      </c>
      <c r="D823" t="s">
        <v>17</v>
      </c>
      <c r="E823">
        <v>2</v>
      </c>
      <c r="F823" s="6">
        <f>VLOOKUP(D823,Products!A$2:C$101,3,FALSE)*E823</f>
        <v>64</v>
      </c>
      <c r="G823" t="s">
        <v>406</v>
      </c>
    </row>
    <row r="824" spans="1:7" x14ac:dyDescent="0.25">
      <c r="A824" s="3">
        <v>44090</v>
      </c>
      <c r="B824" s="2" t="str">
        <f t="shared" si="12"/>
        <v>sa-16-9</v>
      </c>
      <c r="C824" t="s">
        <v>327</v>
      </c>
      <c r="D824" t="s">
        <v>77</v>
      </c>
      <c r="E824">
        <v>3</v>
      </c>
      <c r="F824" s="6">
        <f>VLOOKUP(D824,Products!A$2:C$101,3,FALSE)*E824</f>
        <v>102</v>
      </c>
      <c r="G824" t="s">
        <v>396</v>
      </c>
    </row>
    <row r="825" spans="1:7" x14ac:dyDescent="0.25">
      <c r="A825" s="3">
        <v>44120</v>
      </c>
      <c r="B825" s="2" t="str">
        <f t="shared" si="12"/>
        <v>sa-16-10</v>
      </c>
      <c r="C825" t="s">
        <v>326</v>
      </c>
      <c r="D825" t="s">
        <v>54</v>
      </c>
      <c r="E825">
        <v>5</v>
      </c>
      <c r="F825" s="6">
        <f>VLOOKUP(D825,Products!A$2:C$101,3,FALSE)*E825</f>
        <v>175</v>
      </c>
      <c r="G825" t="s">
        <v>408</v>
      </c>
    </row>
    <row r="826" spans="1:7" x14ac:dyDescent="0.25">
      <c r="A826" s="3">
        <v>44582</v>
      </c>
      <c r="B826" s="2" t="str">
        <f t="shared" si="12"/>
        <v>sa-21-1</v>
      </c>
      <c r="C826" t="s">
        <v>315</v>
      </c>
      <c r="D826" t="s">
        <v>63</v>
      </c>
      <c r="E826">
        <v>6</v>
      </c>
      <c r="F826" s="6">
        <f>VLOOKUP(D826,Products!A$2:C$101,3,FALSE)*E826</f>
        <v>198</v>
      </c>
      <c r="G826" t="s">
        <v>397</v>
      </c>
    </row>
    <row r="827" spans="1:7" x14ac:dyDescent="0.25">
      <c r="A827" s="3">
        <v>43848</v>
      </c>
      <c r="B827" s="2" t="str">
        <f t="shared" si="12"/>
        <v>sa-18-1</v>
      </c>
      <c r="C827" t="s">
        <v>316</v>
      </c>
      <c r="D827" t="s">
        <v>47</v>
      </c>
      <c r="E827">
        <v>2</v>
      </c>
      <c r="F827" s="6">
        <f>VLOOKUP(D827,Products!A$2:C$101,3,FALSE)*E827</f>
        <v>64</v>
      </c>
      <c r="G827" t="s">
        <v>397</v>
      </c>
    </row>
    <row r="828" spans="1:7" x14ac:dyDescent="0.25">
      <c r="A828" s="3">
        <v>44247</v>
      </c>
      <c r="B828" s="2" t="str">
        <f t="shared" si="12"/>
        <v>sa-20-2</v>
      </c>
      <c r="C828" t="s">
        <v>335</v>
      </c>
      <c r="D828" t="s">
        <v>92</v>
      </c>
      <c r="E828">
        <v>4</v>
      </c>
      <c r="F828" s="6">
        <f>VLOOKUP(D828,Products!A$2:C$101,3,FALSE)*E828</f>
        <v>56</v>
      </c>
      <c r="G828" t="s">
        <v>399</v>
      </c>
    </row>
    <row r="829" spans="1:7" x14ac:dyDescent="0.25">
      <c r="A829" s="3">
        <v>44083</v>
      </c>
      <c r="B829" s="2" t="str">
        <f t="shared" si="12"/>
        <v>sa-9-9</v>
      </c>
      <c r="C829" t="s">
        <v>320</v>
      </c>
      <c r="D829" t="s">
        <v>80</v>
      </c>
      <c r="E829">
        <v>4</v>
      </c>
      <c r="F829" s="6">
        <f>VLOOKUP(D829,Products!A$2:C$101,3,FALSE)*E829</f>
        <v>124</v>
      </c>
      <c r="G829" t="s">
        <v>396</v>
      </c>
    </row>
    <row r="830" spans="1:7" x14ac:dyDescent="0.25">
      <c r="A830" s="3">
        <v>44054</v>
      </c>
      <c r="B830" s="2" t="str">
        <f t="shared" si="12"/>
        <v>sa-11-8</v>
      </c>
      <c r="C830" t="s">
        <v>320</v>
      </c>
      <c r="D830" t="s">
        <v>32</v>
      </c>
      <c r="E830">
        <v>3</v>
      </c>
      <c r="F830" s="6">
        <f>VLOOKUP(D830,Products!A$2:C$101,3,FALSE)*E830</f>
        <v>102</v>
      </c>
      <c r="G830" t="s">
        <v>396</v>
      </c>
    </row>
    <row r="831" spans="1:7" x14ac:dyDescent="0.25">
      <c r="A831" s="3">
        <v>44493</v>
      </c>
      <c r="B831" s="2" t="str">
        <f t="shared" si="12"/>
        <v>sa-24-10</v>
      </c>
      <c r="C831" t="s">
        <v>343</v>
      </c>
      <c r="D831" t="s">
        <v>29</v>
      </c>
      <c r="E831">
        <v>5</v>
      </c>
      <c r="F831" s="6">
        <f>VLOOKUP(D831,Products!A$2:C$101,3,FALSE)*E831</f>
        <v>155</v>
      </c>
      <c r="G831" t="s">
        <v>401</v>
      </c>
    </row>
    <row r="832" spans="1:7" x14ac:dyDescent="0.25">
      <c r="A832" s="3">
        <v>44226</v>
      </c>
      <c r="B832" s="2" t="str">
        <f t="shared" si="12"/>
        <v>sa-30-1</v>
      </c>
      <c r="C832" t="s">
        <v>313</v>
      </c>
      <c r="D832" t="s">
        <v>56</v>
      </c>
      <c r="E832">
        <v>4</v>
      </c>
      <c r="F832" s="6">
        <f>VLOOKUP(D832,Products!A$2:C$101,3,FALSE)*E832</f>
        <v>120</v>
      </c>
      <c r="G832" t="s">
        <v>406</v>
      </c>
    </row>
    <row r="833" spans="1:7" x14ac:dyDescent="0.25">
      <c r="A833" s="3">
        <v>44137</v>
      </c>
      <c r="B833" s="2" t="str">
        <f t="shared" si="12"/>
        <v>sa-2-11</v>
      </c>
      <c r="C833" t="s">
        <v>341</v>
      </c>
      <c r="D833" t="s">
        <v>86</v>
      </c>
      <c r="E833">
        <v>3</v>
      </c>
      <c r="F833" s="6">
        <f>VLOOKUP(D833,Products!A$2:C$101,3,FALSE)*E833</f>
        <v>102</v>
      </c>
      <c r="G833" t="s">
        <v>406</v>
      </c>
    </row>
    <row r="834" spans="1:7" x14ac:dyDescent="0.25">
      <c r="A834" s="3">
        <v>44046</v>
      </c>
      <c r="B834" s="2" t="str">
        <f t="shared" si="12"/>
        <v>sa-3-8</v>
      </c>
      <c r="C834" t="s">
        <v>350</v>
      </c>
      <c r="D834" t="s">
        <v>29</v>
      </c>
      <c r="E834">
        <v>4</v>
      </c>
      <c r="F834" s="6">
        <f>VLOOKUP(D834,Products!A$2:C$101,3,FALSE)*E834</f>
        <v>124</v>
      </c>
      <c r="G834" t="s">
        <v>396</v>
      </c>
    </row>
    <row r="835" spans="1:7" x14ac:dyDescent="0.25">
      <c r="A835" s="3">
        <v>43911</v>
      </c>
      <c r="B835" s="2" t="str">
        <f t="shared" ref="B835:B898" si="13">"sa-"&amp;DAY(A835)&amp;"-"&amp;MONTH(A835)</f>
        <v>sa-21-3</v>
      </c>
      <c r="C835" t="s">
        <v>330</v>
      </c>
      <c r="D835" t="s">
        <v>33</v>
      </c>
      <c r="E835">
        <v>5</v>
      </c>
      <c r="F835" s="6">
        <f>VLOOKUP(D835,Products!A$2:C$101,3,FALSE)*E835</f>
        <v>165</v>
      </c>
      <c r="G835" t="s">
        <v>408</v>
      </c>
    </row>
    <row r="836" spans="1:7" x14ac:dyDescent="0.25">
      <c r="A836" s="3">
        <v>44048</v>
      </c>
      <c r="B836" s="2" t="str">
        <f t="shared" si="13"/>
        <v>sa-5-8</v>
      </c>
      <c r="C836" t="s">
        <v>336</v>
      </c>
      <c r="D836" t="s">
        <v>42</v>
      </c>
      <c r="E836">
        <v>4</v>
      </c>
      <c r="F836" s="6">
        <f>VLOOKUP(D836,Products!A$2:C$101,3,FALSE)*E836</f>
        <v>136</v>
      </c>
      <c r="G836" t="s">
        <v>400</v>
      </c>
    </row>
    <row r="837" spans="1:7" x14ac:dyDescent="0.25">
      <c r="A837" s="3">
        <v>44487</v>
      </c>
      <c r="B837" s="2" t="str">
        <f t="shared" si="13"/>
        <v>sa-18-10</v>
      </c>
      <c r="C837" t="s">
        <v>329</v>
      </c>
      <c r="D837" t="s">
        <v>36</v>
      </c>
      <c r="E837">
        <v>4</v>
      </c>
      <c r="F837" s="6">
        <f>VLOOKUP(D837,Products!A$2:C$101,3,FALSE)*E837</f>
        <v>136</v>
      </c>
      <c r="G837" t="s">
        <v>397</v>
      </c>
    </row>
    <row r="838" spans="1:7" x14ac:dyDescent="0.25">
      <c r="A838" s="3">
        <v>44178</v>
      </c>
      <c r="B838" s="2" t="str">
        <f t="shared" si="13"/>
        <v>sa-13-12</v>
      </c>
      <c r="C838" t="s">
        <v>323</v>
      </c>
      <c r="D838" t="s">
        <v>35</v>
      </c>
      <c r="E838">
        <v>4</v>
      </c>
      <c r="F838" s="6">
        <f>VLOOKUP(D838,Products!A$2:C$101,3,FALSE)*E838</f>
        <v>120</v>
      </c>
      <c r="G838" t="s">
        <v>408</v>
      </c>
    </row>
    <row r="839" spans="1:7" x14ac:dyDescent="0.25">
      <c r="A839" s="3">
        <v>44047</v>
      </c>
      <c r="B839" s="2" t="str">
        <f t="shared" si="13"/>
        <v>sa-4-8</v>
      </c>
      <c r="C839" t="s">
        <v>333</v>
      </c>
      <c r="D839" t="s">
        <v>79</v>
      </c>
      <c r="E839">
        <v>5</v>
      </c>
      <c r="F839" s="6">
        <f>VLOOKUP(D839,Products!A$2:C$101,3,FALSE)*E839</f>
        <v>170</v>
      </c>
      <c r="G839" t="s">
        <v>407</v>
      </c>
    </row>
    <row r="840" spans="1:7" x14ac:dyDescent="0.25">
      <c r="A840" s="3">
        <v>44662</v>
      </c>
      <c r="B840" s="2" t="str">
        <f t="shared" si="13"/>
        <v>sa-11-4</v>
      </c>
      <c r="C840" t="s">
        <v>314</v>
      </c>
      <c r="D840" t="s">
        <v>81</v>
      </c>
      <c r="E840">
        <v>3</v>
      </c>
      <c r="F840" s="6">
        <f>VLOOKUP(D840,Products!A$2:C$101,3,FALSE)*E840</f>
        <v>96</v>
      </c>
      <c r="G840" t="s">
        <v>400</v>
      </c>
    </row>
    <row r="841" spans="1:7" x14ac:dyDescent="0.25">
      <c r="A841" s="3">
        <v>44570</v>
      </c>
      <c r="B841" s="2" t="str">
        <f t="shared" si="13"/>
        <v>sa-9-1</v>
      </c>
      <c r="C841" t="s">
        <v>330</v>
      </c>
      <c r="D841" t="s">
        <v>62</v>
      </c>
      <c r="E841">
        <v>2</v>
      </c>
      <c r="F841" s="6">
        <f>VLOOKUP(D841,Products!A$2:C$101,3,FALSE)*E841</f>
        <v>64</v>
      </c>
      <c r="G841" t="s">
        <v>406</v>
      </c>
    </row>
    <row r="842" spans="1:7" x14ac:dyDescent="0.25">
      <c r="A842" s="3">
        <v>44006</v>
      </c>
      <c r="B842" s="2" t="str">
        <f t="shared" si="13"/>
        <v>sa-24-6</v>
      </c>
      <c r="C842" t="s">
        <v>311</v>
      </c>
      <c r="D842" t="s">
        <v>101</v>
      </c>
      <c r="E842">
        <v>2</v>
      </c>
      <c r="F842" s="6">
        <f>VLOOKUP(D842,Products!A$2:C$101,3,FALSE)*E842</f>
        <v>20</v>
      </c>
      <c r="G842" t="s">
        <v>395</v>
      </c>
    </row>
    <row r="843" spans="1:7" x14ac:dyDescent="0.25">
      <c r="A843" s="3">
        <v>44223</v>
      </c>
      <c r="B843" s="2" t="str">
        <f t="shared" si="13"/>
        <v>sa-27-1</v>
      </c>
      <c r="C843" t="s">
        <v>309</v>
      </c>
      <c r="D843" t="s">
        <v>12</v>
      </c>
      <c r="E843">
        <v>4</v>
      </c>
      <c r="F843" s="6">
        <f>VLOOKUP(D843,Products!A$2:C$101,3,FALSE)*E843</f>
        <v>296</v>
      </c>
      <c r="G843" t="s">
        <v>399</v>
      </c>
    </row>
    <row r="844" spans="1:7" x14ac:dyDescent="0.25">
      <c r="A844" s="3">
        <v>44530</v>
      </c>
      <c r="B844" s="2" t="str">
        <f t="shared" si="13"/>
        <v>sa-30-11</v>
      </c>
      <c r="C844" t="s">
        <v>343</v>
      </c>
      <c r="D844" t="s">
        <v>77</v>
      </c>
      <c r="E844">
        <v>6</v>
      </c>
      <c r="F844" s="6">
        <f>VLOOKUP(D844,Products!A$2:C$101,3,FALSE)*E844</f>
        <v>204</v>
      </c>
      <c r="G844" t="s">
        <v>408</v>
      </c>
    </row>
    <row r="845" spans="1:7" x14ac:dyDescent="0.25">
      <c r="A845" s="3">
        <v>44146</v>
      </c>
      <c r="B845" s="2" t="str">
        <f t="shared" si="13"/>
        <v>sa-11-11</v>
      </c>
      <c r="C845" t="s">
        <v>312</v>
      </c>
      <c r="D845" t="s">
        <v>97</v>
      </c>
      <c r="E845">
        <v>2</v>
      </c>
      <c r="F845" s="6">
        <f>VLOOKUP(D845,Products!A$2:C$101,3,FALSE)*E845</f>
        <v>20</v>
      </c>
      <c r="G845" t="s">
        <v>405</v>
      </c>
    </row>
    <row r="846" spans="1:7" x14ac:dyDescent="0.25">
      <c r="A846" s="3">
        <v>44045</v>
      </c>
      <c r="B846" s="2" t="str">
        <f t="shared" si="13"/>
        <v>sa-2-8</v>
      </c>
      <c r="C846" t="s">
        <v>343</v>
      </c>
      <c r="D846" t="s">
        <v>24</v>
      </c>
      <c r="E846">
        <v>3</v>
      </c>
      <c r="F846" s="6">
        <f>VLOOKUP(D846,Products!A$2:C$101,3,FALSE)*E846</f>
        <v>99</v>
      </c>
      <c r="G846" t="s">
        <v>398</v>
      </c>
    </row>
    <row r="847" spans="1:7" x14ac:dyDescent="0.25">
      <c r="A847" s="3">
        <v>44256</v>
      </c>
      <c r="B847" s="2" t="str">
        <f t="shared" si="13"/>
        <v>sa-1-3</v>
      </c>
      <c r="C847" t="s">
        <v>337</v>
      </c>
      <c r="D847" t="s">
        <v>69</v>
      </c>
      <c r="E847">
        <v>6</v>
      </c>
      <c r="F847" s="6">
        <f>VLOOKUP(D847,Products!A$2:C$101,3,FALSE)*E847</f>
        <v>180</v>
      </c>
      <c r="G847" t="s">
        <v>397</v>
      </c>
    </row>
    <row r="848" spans="1:7" x14ac:dyDescent="0.25">
      <c r="A848" s="3">
        <v>44508</v>
      </c>
      <c r="B848" s="2" t="str">
        <f t="shared" si="13"/>
        <v>sa-8-11</v>
      </c>
      <c r="C848" t="s">
        <v>311</v>
      </c>
      <c r="D848" t="s">
        <v>54</v>
      </c>
      <c r="E848">
        <v>6</v>
      </c>
      <c r="F848" s="6">
        <f>VLOOKUP(D848,Products!A$2:C$101,3,FALSE)*E848</f>
        <v>210</v>
      </c>
      <c r="G848" t="s">
        <v>400</v>
      </c>
    </row>
    <row r="849" spans="1:7" x14ac:dyDescent="0.25">
      <c r="A849" s="3">
        <v>44391</v>
      </c>
      <c r="B849" s="2" t="str">
        <f t="shared" si="13"/>
        <v>sa-14-7</v>
      </c>
      <c r="C849" t="s">
        <v>354</v>
      </c>
      <c r="D849" t="s">
        <v>95</v>
      </c>
      <c r="E849">
        <v>3</v>
      </c>
      <c r="F849" s="6">
        <f>VLOOKUP(D849,Products!A$2:C$101,3,FALSE)*E849</f>
        <v>36</v>
      </c>
      <c r="G849" t="s">
        <v>402</v>
      </c>
    </row>
    <row r="850" spans="1:7" x14ac:dyDescent="0.25">
      <c r="A850" s="3">
        <v>44285</v>
      </c>
      <c r="B850" s="2" t="str">
        <f t="shared" si="13"/>
        <v>sa-30-3</v>
      </c>
      <c r="C850" t="s">
        <v>330</v>
      </c>
      <c r="D850" t="s">
        <v>58</v>
      </c>
      <c r="E850">
        <v>2</v>
      </c>
      <c r="F850" s="6">
        <f>VLOOKUP(D850,Products!A$2:C$101,3,FALSE)*E850</f>
        <v>70</v>
      </c>
      <c r="G850" t="s">
        <v>407</v>
      </c>
    </row>
    <row r="851" spans="1:7" x14ac:dyDescent="0.25">
      <c r="A851" s="3">
        <v>43985</v>
      </c>
      <c r="B851" s="2" t="str">
        <f t="shared" si="13"/>
        <v>sa-3-6</v>
      </c>
      <c r="C851" t="s">
        <v>323</v>
      </c>
      <c r="D851" t="s">
        <v>47</v>
      </c>
      <c r="E851">
        <v>3</v>
      </c>
      <c r="F851" s="6">
        <f>VLOOKUP(D851,Products!A$2:C$101,3,FALSE)*E851</f>
        <v>96</v>
      </c>
      <c r="G851" t="s">
        <v>397</v>
      </c>
    </row>
    <row r="852" spans="1:7" x14ac:dyDescent="0.25">
      <c r="A852" s="3">
        <v>44328</v>
      </c>
      <c r="B852" s="2" t="str">
        <f t="shared" si="13"/>
        <v>sa-12-5</v>
      </c>
      <c r="C852" t="s">
        <v>329</v>
      </c>
      <c r="D852" t="s">
        <v>51</v>
      </c>
      <c r="E852">
        <v>4</v>
      </c>
      <c r="F852" s="6">
        <f>VLOOKUP(D852,Products!A$2:C$101,3,FALSE)*E852</f>
        <v>124</v>
      </c>
      <c r="G852" t="s">
        <v>408</v>
      </c>
    </row>
    <row r="853" spans="1:7" x14ac:dyDescent="0.25">
      <c r="A853" s="3">
        <v>44557</v>
      </c>
      <c r="B853" s="2" t="str">
        <f t="shared" si="13"/>
        <v>sa-27-12</v>
      </c>
      <c r="C853" t="s">
        <v>347</v>
      </c>
      <c r="D853" t="s">
        <v>87</v>
      </c>
      <c r="E853">
        <v>5</v>
      </c>
      <c r="F853" s="6">
        <f>VLOOKUP(D853,Products!A$2:C$101,3,FALSE)*E853</f>
        <v>65</v>
      </c>
      <c r="G853" t="s">
        <v>401</v>
      </c>
    </row>
    <row r="854" spans="1:7" x14ac:dyDescent="0.25">
      <c r="A854" s="3">
        <v>44510</v>
      </c>
      <c r="B854" s="2" t="str">
        <f t="shared" si="13"/>
        <v>sa-10-11</v>
      </c>
      <c r="C854" t="s">
        <v>343</v>
      </c>
      <c r="D854" t="s">
        <v>71</v>
      </c>
      <c r="E854">
        <v>2</v>
      </c>
      <c r="F854" s="6">
        <f>VLOOKUP(D854,Products!A$2:C$101,3,FALSE)*E854</f>
        <v>68</v>
      </c>
      <c r="G854" t="s">
        <v>395</v>
      </c>
    </row>
    <row r="855" spans="1:7" x14ac:dyDescent="0.25">
      <c r="A855" s="3">
        <v>44263</v>
      </c>
      <c r="B855" s="2" t="str">
        <f t="shared" si="13"/>
        <v>sa-8-3</v>
      </c>
      <c r="C855" t="s">
        <v>336</v>
      </c>
      <c r="D855" t="s">
        <v>59</v>
      </c>
      <c r="E855">
        <v>3</v>
      </c>
      <c r="F855" s="6">
        <f>VLOOKUP(D855,Products!A$2:C$101,3,FALSE)*E855</f>
        <v>105</v>
      </c>
      <c r="G855" t="s">
        <v>405</v>
      </c>
    </row>
    <row r="856" spans="1:7" x14ac:dyDescent="0.25">
      <c r="A856" s="3">
        <v>43954</v>
      </c>
      <c r="B856" s="2" t="str">
        <f t="shared" si="13"/>
        <v>sa-3-5</v>
      </c>
      <c r="C856" t="s">
        <v>317</v>
      </c>
      <c r="D856" t="s">
        <v>15</v>
      </c>
      <c r="E856">
        <v>3</v>
      </c>
      <c r="F856" s="6">
        <f>VLOOKUP(D856,Products!A$2:C$101,3,FALSE)*E856</f>
        <v>105</v>
      </c>
      <c r="G856" t="s">
        <v>402</v>
      </c>
    </row>
    <row r="857" spans="1:7" x14ac:dyDescent="0.25">
      <c r="A857" s="3">
        <v>43868</v>
      </c>
      <c r="B857" s="2" t="str">
        <f t="shared" si="13"/>
        <v>sa-7-2</v>
      </c>
      <c r="C857" t="s">
        <v>336</v>
      </c>
      <c r="D857" t="s">
        <v>80</v>
      </c>
      <c r="E857">
        <v>3</v>
      </c>
      <c r="F857" s="6">
        <f>VLOOKUP(D857,Products!A$2:C$101,3,FALSE)*E857</f>
        <v>93</v>
      </c>
      <c r="G857" t="s">
        <v>399</v>
      </c>
    </row>
    <row r="858" spans="1:7" x14ac:dyDescent="0.25">
      <c r="A858" s="3">
        <v>44637</v>
      </c>
      <c r="B858" s="2" t="str">
        <f t="shared" si="13"/>
        <v>sa-17-3</v>
      </c>
      <c r="C858" t="s">
        <v>327</v>
      </c>
      <c r="D858" t="s">
        <v>21</v>
      </c>
      <c r="E858">
        <v>6</v>
      </c>
      <c r="F858" s="6">
        <f>VLOOKUP(D858,Products!A$2:C$101,3,FALSE)*E858</f>
        <v>198</v>
      </c>
      <c r="G858" t="s">
        <v>398</v>
      </c>
    </row>
    <row r="859" spans="1:7" x14ac:dyDescent="0.25">
      <c r="A859" s="3">
        <v>43882</v>
      </c>
      <c r="B859" s="2" t="str">
        <f t="shared" si="13"/>
        <v>sa-21-2</v>
      </c>
      <c r="C859" t="s">
        <v>314</v>
      </c>
      <c r="D859" t="s">
        <v>81</v>
      </c>
      <c r="E859">
        <v>6</v>
      </c>
      <c r="F859" s="6">
        <f>VLOOKUP(D859,Products!A$2:C$101,3,FALSE)*E859</f>
        <v>192</v>
      </c>
      <c r="G859" t="s">
        <v>395</v>
      </c>
    </row>
    <row r="860" spans="1:7" x14ac:dyDescent="0.25">
      <c r="A860" s="3">
        <v>44355</v>
      </c>
      <c r="B860" s="2" t="str">
        <f t="shared" si="13"/>
        <v>sa-8-6</v>
      </c>
      <c r="C860" t="s">
        <v>341</v>
      </c>
      <c r="D860" t="s">
        <v>90</v>
      </c>
      <c r="E860">
        <v>4</v>
      </c>
      <c r="F860" s="6">
        <f>VLOOKUP(D860,Products!A$2:C$101,3,FALSE)*E860</f>
        <v>40</v>
      </c>
      <c r="G860" t="s">
        <v>401</v>
      </c>
    </row>
    <row r="861" spans="1:7" x14ac:dyDescent="0.25">
      <c r="A861" s="3">
        <v>44739</v>
      </c>
      <c r="B861" s="2" t="str">
        <f t="shared" si="13"/>
        <v>sa-27-6</v>
      </c>
      <c r="C861" t="s">
        <v>321</v>
      </c>
      <c r="D861" t="s">
        <v>7</v>
      </c>
      <c r="E861">
        <v>6</v>
      </c>
      <c r="F861" s="6">
        <f>VLOOKUP(D861,Products!A$2:C$101,3,FALSE)*E861</f>
        <v>444</v>
      </c>
      <c r="G861" t="s">
        <v>402</v>
      </c>
    </row>
    <row r="862" spans="1:7" x14ac:dyDescent="0.25">
      <c r="A862" s="3">
        <v>44225</v>
      </c>
      <c r="B862" s="2" t="str">
        <f t="shared" si="13"/>
        <v>sa-29-1</v>
      </c>
      <c r="C862" t="s">
        <v>355</v>
      </c>
      <c r="D862" t="s">
        <v>61</v>
      </c>
      <c r="E862">
        <v>4</v>
      </c>
      <c r="F862" s="6">
        <f>VLOOKUP(D862,Products!A$2:C$101,3,FALSE)*E862</f>
        <v>124</v>
      </c>
      <c r="G862" t="s">
        <v>400</v>
      </c>
    </row>
    <row r="863" spans="1:7" x14ac:dyDescent="0.25">
      <c r="A863" s="3">
        <v>44066</v>
      </c>
      <c r="B863" s="2" t="str">
        <f t="shared" si="13"/>
        <v>sa-23-8</v>
      </c>
      <c r="C863" t="s">
        <v>341</v>
      </c>
      <c r="D863" t="s">
        <v>5</v>
      </c>
      <c r="E863">
        <v>5</v>
      </c>
      <c r="F863" s="6">
        <f>VLOOKUP(D863,Products!A$2:C$101,3,FALSE)*E863</f>
        <v>400</v>
      </c>
      <c r="G863" t="s">
        <v>397</v>
      </c>
    </row>
    <row r="864" spans="1:7" x14ac:dyDescent="0.25">
      <c r="A864" s="3">
        <v>44662</v>
      </c>
      <c r="B864" s="2" t="str">
        <f t="shared" si="13"/>
        <v>sa-11-4</v>
      </c>
      <c r="C864" t="s">
        <v>326</v>
      </c>
      <c r="D864" t="s">
        <v>25</v>
      </c>
      <c r="E864">
        <v>6</v>
      </c>
      <c r="F864" s="6">
        <f>VLOOKUP(D864,Products!A$2:C$101,3,FALSE)*E864</f>
        <v>198</v>
      </c>
      <c r="G864" t="s">
        <v>407</v>
      </c>
    </row>
    <row r="865" spans="1:7" x14ac:dyDescent="0.25">
      <c r="A865" s="3">
        <v>44172</v>
      </c>
      <c r="B865" s="2" t="str">
        <f t="shared" si="13"/>
        <v>sa-7-12</v>
      </c>
      <c r="C865" t="s">
        <v>334</v>
      </c>
      <c r="D865" t="s">
        <v>81</v>
      </c>
      <c r="E865">
        <v>2</v>
      </c>
      <c r="F865" s="6">
        <f>VLOOKUP(D865,Products!A$2:C$101,3,FALSE)*E865</f>
        <v>64</v>
      </c>
      <c r="G865" t="s">
        <v>406</v>
      </c>
    </row>
    <row r="866" spans="1:7" x14ac:dyDescent="0.25">
      <c r="A866" s="3">
        <v>44482</v>
      </c>
      <c r="B866" s="2" t="str">
        <f t="shared" si="13"/>
        <v>sa-13-10</v>
      </c>
      <c r="C866" t="s">
        <v>312</v>
      </c>
      <c r="D866" t="s">
        <v>3</v>
      </c>
      <c r="E866">
        <v>4</v>
      </c>
      <c r="F866" s="6">
        <f>VLOOKUP(D866,Products!A$2:C$101,3,FALSE)*E866</f>
        <v>296</v>
      </c>
      <c r="G866" t="s">
        <v>402</v>
      </c>
    </row>
    <row r="867" spans="1:7" x14ac:dyDescent="0.25">
      <c r="A867" s="3">
        <v>44303</v>
      </c>
      <c r="B867" s="2" t="str">
        <f t="shared" si="13"/>
        <v>sa-17-4</v>
      </c>
      <c r="C867" t="s">
        <v>320</v>
      </c>
      <c r="D867" t="s">
        <v>59</v>
      </c>
      <c r="E867">
        <v>5</v>
      </c>
      <c r="F867" s="6">
        <f>VLOOKUP(D867,Products!A$2:C$101,3,FALSE)*E867</f>
        <v>175</v>
      </c>
      <c r="G867" t="s">
        <v>405</v>
      </c>
    </row>
    <row r="868" spans="1:7" x14ac:dyDescent="0.25">
      <c r="A868" s="3">
        <v>44007</v>
      </c>
      <c r="B868" s="2" t="str">
        <f t="shared" si="13"/>
        <v>sa-25-6</v>
      </c>
      <c r="C868" t="s">
        <v>339</v>
      </c>
      <c r="D868" t="s">
        <v>32</v>
      </c>
      <c r="E868">
        <v>6</v>
      </c>
      <c r="F868" s="6">
        <f>VLOOKUP(D868,Products!A$2:C$101,3,FALSE)*E868</f>
        <v>204</v>
      </c>
      <c r="G868" t="s">
        <v>395</v>
      </c>
    </row>
    <row r="869" spans="1:7" x14ac:dyDescent="0.25">
      <c r="A869" s="3">
        <v>43946</v>
      </c>
      <c r="B869" s="2" t="str">
        <f t="shared" si="13"/>
        <v>sa-25-4</v>
      </c>
      <c r="C869" t="s">
        <v>335</v>
      </c>
      <c r="D869" t="s">
        <v>40</v>
      </c>
      <c r="E869">
        <v>3</v>
      </c>
      <c r="F869" s="6">
        <f>VLOOKUP(D869,Products!A$2:C$101,3,FALSE)*E869</f>
        <v>102</v>
      </c>
      <c r="G869" t="s">
        <v>399</v>
      </c>
    </row>
    <row r="870" spans="1:7" x14ac:dyDescent="0.25">
      <c r="A870" s="3">
        <v>44171</v>
      </c>
      <c r="B870" s="2" t="str">
        <f t="shared" si="13"/>
        <v>sa-6-12</v>
      </c>
      <c r="C870" t="s">
        <v>351</v>
      </c>
      <c r="D870" t="s">
        <v>30</v>
      </c>
      <c r="E870">
        <v>3</v>
      </c>
      <c r="F870" s="6">
        <f>VLOOKUP(D870,Products!A$2:C$101,3,FALSE)*E870</f>
        <v>105</v>
      </c>
      <c r="G870" t="s">
        <v>404</v>
      </c>
    </row>
    <row r="871" spans="1:7" x14ac:dyDescent="0.25">
      <c r="A871" s="3">
        <v>44048</v>
      </c>
      <c r="B871" s="2" t="str">
        <f t="shared" si="13"/>
        <v>sa-5-8</v>
      </c>
      <c r="C871" t="s">
        <v>324</v>
      </c>
      <c r="D871" t="s">
        <v>68</v>
      </c>
      <c r="E871">
        <v>6</v>
      </c>
      <c r="F871" s="6">
        <f>VLOOKUP(D871,Products!A$2:C$101,3,FALSE)*E871</f>
        <v>192</v>
      </c>
      <c r="G871" t="s">
        <v>395</v>
      </c>
    </row>
    <row r="872" spans="1:7" x14ac:dyDescent="0.25">
      <c r="A872" s="3">
        <v>44084</v>
      </c>
      <c r="B872" s="2" t="str">
        <f t="shared" si="13"/>
        <v>sa-10-9</v>
      </c>
      <c r="C872" t="s">
        <v>348</v>
      </c>
      <c r="D872" t="s">
        <v>80</v>
      </c>
      <c r="E872">
        <v>2</v>
      </c>
      <c r="F872" s="6">
        <f>VLOOKUP(D872,Products!A$2:C$101,3,FALSE)*E872</f>
        <v>62</v>
      </c>
      <c r="G872" t="s">
        <v>406</v>
      </c>
    </row>
    <row r="873" spans="1:7" x14ac:dyDescent="0.25">
      <c r="A873" s="3">
        <v>44329</v>
      </c>
      <c r="B873" s="2" t="str">
        <f t="shared" si="13"/>
        <v>sa-13-5</v>
      </c>
      <c r="C873" t="s">
        <v>325</v>
      </c>
      <c r="D873" t="s">
        <v>9</v>
      </c>
      <c r="E873">
        <v>3</v>
      </c>
      <c r="F873" s="6">
        <f>VLOOKUP(D873,Products!A$2:C$101,3,FALSE)*E873</f>
        <v>240</v>
      </c>
      <c r="G873" t="s">
        <v>395</v>
      </c>
    </row>
    <row r="874" spans="1:7" x14ac:dyDescent="0.25">
      <c r="A874" s="3">
        <v>44175</v>
      </c>
      <c r="B874" s="2" t="str">
        <f t="shared" si="13"/>
        <v>sa-10-12</v>
      </c>
      <c r="C874" t="s">
        <v>352</v>
      </c>
      <c r="D874" t="s">
        <v>34</v>
      </c>
      <c r="E874">
        <v>2</v>
      </c>
      <c r="F874" s="6">
        <f>VLOOKUP(D874,Products!A$2:C$101,3,FALSE)*E874</f>
        <v>70</v>
      </c>
      <c r="G874" t="s">
        <v>403</v>
      </c>
    </row>
    <row r="875" spans="1:7" x14ac:dyDescent="0.25">
      <c r="A875" s="3">
        <v>44733</v>
      </c>
      <c r="B875" s="2" t="str">
        <f t="shared" si="13"/>
        <v>sa-21-6</v>
      </c>
      <c r="C875" t="s">
        <v>323</v>
      </c>
      <c r="D875" t="s">
        <v>63</v>
      </c>
      <c r="E875">
        <v>5</v>
      </c>
      <c r="F875" s="6">
        <f>VLOOKUP(D875,Products!A$2:C$101,3,FALSE)*E875</f>
        <v>165</v>
      </c>
      <c r="G875" t="s">
        <v>404</v>
      </c>
    </row>
    <row r="876" spans="1:7" x14ac:dyDescent="0.25">
      <c r="A876" s="3">
        <v>44724</v>
      </c>
      <c r="B876" s="2" t="str">
        <f t="shared" si="13"/>
        <v>sa-12-6</v>
      </c>
      <c r="C876" t="s">
        <v>310</v>
      </c>
      <c r="D876" t="s">
        <v>86</v>
      </c>
      <c r="E876">
        <v>6</v>
      </c>
      <c r="F876" s="6">
        <f>VLOOKUP(D876,Products!A$2:C$101,3,FALSE)*E876</f>
        <v>204</v>
      </c>
      <c r="G876" t="s">
        <v>403</v>
      </c>
    </row>
    <row r="877" spans="1:7" x14ac:dyDescent="0.25">
      <c r="A877" s="3">
        <v>44443</v>
      </c>
      <c r="B877" s="2" t="str">
        <f t="shared" si="13"/>
        <v>sa-4-9</v>
      </c>
      <c r="C877" t="s">
        <v>327</v>
      </c>
      <c r="D877" t="s">
        <v>67</v>
      </c>
      <c r="E877">
        <v>2</v>
      </c>
      <c r="F877" s="6">
        <f>VLOOKUP(D877,Products!A$2:C$101,3,FALSE)*E877</f>
        <v>64</v>
      </c>
      <c r="G877" t="s">
        <v>396</v>
      </c>
    </row>
    <row r="878" spans="1:7" x14ac:dyDescent="0.25">
      <c r="A878" s="3">
        <v>44063</v>
      </c>
      <c r="B878" s="2" t="str">
        <f t="shared" si="13"/>
        <v>sa-20-8</v>
      </c>
      <c r="C878" t="s">
        <v>332</v>
      </c>
      <c r="D878" t="s">
        <v>25</v>
      </c>
      <c r="E878">
        <v>3</v>
      </c>
      <c r="F878" s="6">
        <f>VLOOKUP(D878,Products!A$2:C$101,3,FALSE)*E878</f>
        <v>99</v>
      </c>
      <c r="G878" t="s">
        <v>398</v>
      </c>
    </row>
    <row r="879" spans="1:7" x14ac:dyDescent="0.25">
      <c r="A879" s="3">
        <v>44495</v>
      </c>
      <c r="B879" s="2" t="str">
        <f t="shared" si="13"/>
        <v>sa-26-10</v>
      </c>
      <c r="C879" t="s">
        <v>344</v>
      </c>
      <c r="D879" t="s">
        <v>6</v>
      </c>
      <c r="E879">
        <v>5</v>
      </c>
      <c r="F879" s="6">
        <f>VLOOKUP(D879,Products!A$2:C$101,3,FALSE)*E879</f>
        <v>345</v>
      </c>
      <c r="G879" t="s">
        <v>408</v>
      </c>
    </row>
    <row r="880" spans="1:7" x14ac:dyDescent="0.25">
      <c r="A880" s="3">
        <v>43871</v>
      </c>
      <c r="B880" s="2" t="str">
        <f t="shared" si="13"/>
        <v>sa-10-2</v>
      </c>
      <c r="C880" t="s">
        <v>351</v>
      </c>
      <c r="D880" t="s">
        <v>77</v>
      </c>
      <c r="E880">
        <v>5</v>
      </c>
      <c r="F880" s="6">
        <f>VLOOKUP(D880,Products!A$2:C$101,3,FALSE)*E880</f>
        <v>170</v>
      </c>
      <c r="G880" t="s">
        <v>408</v>
      </c>
    </row>
    <row r="881" spans="1:7" x14ac:dyDescent="0.25">
      <c r="A881" s="3">
        <v>44422</v>
      </c>
      <c r="B881" s="2" t="str">
        <f t="shared" si="13"/>
        <v>sa-14-8</v>
      </c>
      <c r="C881" t="s">
        <v>354</v>
      </c>
      <c r="D881" t="s">
        <v>60</v>
      </c>
      <c r="E881">
        <v>3</v>
      </c>
      <c r="F881" s="6">
        <f>VLOOKUP(D881,Products!A$2:C$101,3,FALSE)*E881</f>
        <v>90</v>
      </c>
      <c r="G881" t="s">
        <v>406</v>
      </c>
    </row>
    <row r="882" spans="1:7" x14ac:dyDescent="0.25">
      <c r="A882" s="3">
        <v>44627</v>
      </c>
      <c r="B882" s="2" t="str">
        <f t="shared" si="13"/>
        <v>sa-7-3</v>
      </c>
      <c r="C882" t="s">
        <v>307</v>
      </c>
      <c r="D882" t="s">
        <v>64</v>
      </c>
      <c r="E882">
        <v>4</v>
      </c>
      <c r="F882" s="6">
        <f>VLOOKUP(D882,Products!A$2:C$101,3,FALSE)*E882</f>
        <v>140</v>
      </c>
      <c r="G882" t="s">
        <v>403</v>
      </c>
    </row>
    <row r="883" spans="1:7" x14ac:dyDescent="0.25">
      <c r="A883" s="3">
        <v>43831</v>
      </c>
      <c r="B883" s="2" t="str">
        <f t="shared" si="13"/>
        <v>sa-1-1</v>
      </c>
      <c r="C883" t="s">
        <v>336</v>
      </c>
      <c r="D883" t="s">
        <v>4</v>
      </c>
      <c r="E883">
        <v>2</v>
      </c>
      <c r="F883" s="6">
        <f>VLOOKUP(D883,Products!A$2:C$101,3,FALSE)*E883</f>
        <v>142</v>
      </c>
      <c r="G883" t="s">
        <v>402</v>
      </c>
    </row>
    <row r="884" spans="1:7" x14ac:dyDescent="0.25">
      <c r="A884" s="3">
        <v>44546</v>
      </c>
      <c r="B884" s="2" t="str">
        <f t="shared" si="13"/>
        <v>sa-16-12</v>
      </c>
      <c r="C884" t="s">
        <v>330</v>
      </c>
      <c r="D884" t="s">
        <v>12</v>
      </c>
      <c r="E884">
        <v>4</v>
      </c>
      <c r="F884" s="6">
        <f>VLOOKUP(D884,Products!A$2:C$101,3,FALSE)*E884</f>
        <v>296</v>
      </c>
      <c r="G884" t="s">
        <v>396</v>
      </c>
    </row>
    <row r="885" spans="1:7" x14ac:dyDescent="0.25">
      <c r="A885" s="3">
        <v>44661</v>
      </c>
      <c r="B885" s="2" t="str">
        <f t="shared" si="13"/>
        <v>sa-10-4</v>
      </c>
      <c r="C885" t="s">
        <v>349</v>
      </c>
      <c r="D885" t="s">
        <v>75</v>
      </c>
      <c r="E885">
        <v>5</v>
      </c>
      <c r="F885" s="6">
        <f>VLOOKUP(D885,Products!A$2:C$101,3,FALSE)*E885</f>
        <v>170</v>
      </c>
      <c r="G885" t="s">
        <v>400</v>
      </c>
    </row>
    <row r="886" spans="1:7" x14ac:dyDescent="0.25">
      <c r="A886" s="3">
        <v>44378</v>
      </c>
      <c r="B886" s="2" t="str">
        <f t="shared" si="13"/>
        <v>sa-1-7</v>
      </c>
      <c r="C886" t="s">
        <v>317</v>
      </c>
      <c r="D886" t="s">
        <v>59</v>
      </c>
      <c r="E886">
        <v>6</v>
      </c>
      <c r="F886" s="6">
        <f>VLOOKUP(D886,Products!A$2:C$101,3,FALSE)*E886</f>
        <v>210</v>
      </c>
      <c r="G886" t="s">
        <v>404</v>
      </c>
    </row>
    <row r="887" spans="1:7" x14ac:dyDescent="0.25">
      <c r="A887" s="3">
        <v>43938</v>
      </c>
      <c r="B887" s="2" t="str">
        <f t="shared" si="13"/>
        <v>sa-17-4</v>
      </c>
      <c r="C887" t="s">
        <v>344</v>
      </c>
      <c r="D887" t="s">
        <v>14</v>
      </c>
      <c r="E887">
        <v>2</v>
      </c>
      <c r="F887" s="6">
        <f>VLOOKUP(D887,Products!A$2:C$101,3,FALSE)*E887</f>
        <v>158</v>
      </c>
      <c r="G887" t="s">
        <v>407</v>
      </c>
    </row>
    <row r="888" spans="1:7" x14ac:dyDescent="0.25">
      <c r="A888" s="3">
        <v>44724</v>
      </c>
      <c r="B888" s="2" t="str">
        <f t="shared" si="13"/>
        <v>sa-12-6</v>
      </c>
      <c r="C888" t="s">
        <v>321</v>
      </c>
      <c r="D888" t="s">
        <v>15</v>
      </c>
      <c r="E888">
        <v>3</v>
      </c>
      <c r="F888" s="6">
        <f>VLOOKUP(D888,Products!A$2:C$101,3,FALSE)*E888</f>
        <v>105</v>
      </c>
      <c r="G888" t="s">
        <v>405</v>
      </c>
    </row>
    <row r="889" spans="1:7" x14ac:dyDescent="0.25">
      <c r="A889" s="3">
        <v>43944</v>
      </c>
      <c r="B889" s="2" t="str">
        <f t="shared" si="13"/>
        <v>sa-23-4</v>
      </c>
      <c r="C889" t="s">
        <v>319</v>
      </c>
      <c r="D889" t="s">
        <v>67</v>
      </c>
      <c r="E889">
        <v>3</v>
      </c>
      <c r="F889" s="6">
        <f>VLOOKUP(D889,Products!A$2:C$101,3,FALSE)*E889</f>
        <v>96</v>
      </c>
      <c r="G889" t="s">
        <v>406</v>
      </c>
    </row>
    <row r="890" spans="1:7" x14ac:dyDescent="0.25">
      <c r="A890" s="3">
        <v>44542</v>
      </c>
      <c r="B890" s="2" t="str">
        <f t="shared" si="13"/>
        <v>sa-12-12</v>
      </c>
      <c r="C890" t="s">
        <v>312</v>
      </c>
      <c r="D890" t="s">
        <v>37</v>
      </c>
      <c r="E890">
        <v>2</v>
      </c>
      <c r="F890" s="6">
        <f>VLOOKUP(D890,Products!A$2:C$101,3,FALSE)*E890</f>
        <v>66</v>
      </c>
      <c r="G890" t="s">
        <v>395</v>
      </c>
    </row>
    <row r="891" spans="1:7" x14ac:dyDescent="0.25">
      <c r="A891" s="3">
        <v>44140</v>
      </c>
      <c r="B891" s="2" t="str">
        <f t="shared" si="13"/>
        <v>sa-5-11</v>
      </c>
      <c r="C891" t="s">
        <v>322</v>
      </c>
      <c r="D891" t="s">
        <v>48</v>
      </c>
      <c r="E891">
        <v>6</v>
      </c>
      <c r="F891" s="6">
        <f>VLOOKUP(D891,Products!A$2:C$101,3,FALSE)*E891</f>
        <v>198</v>
      </c>
      <c r="G891" t="s">
        <v>407</v>
      </c>
    </row>
    <row r="892" spans="1:7" x14ac:dyDescent="0.25">
      <c r="A892" s="3">
        <v>44274</v>
      </c>
      <c r="B892" s="2" t="str">
        <f t="shared" si="13"/>
        <v>sa-19-3</v>
      </c>
      <c r="C892" t="s">
        <v>314</v>
      </c>
      <c r="D892" t="s">
        <v>35</v>
      </c>
      <c r="E892">
        <v>4</v>
      </c>
      <c r="F892" s="6">
        <f>VLOOKUP(D892,Products!A$2:C$101,3,FALSE)*E892</f>
        <v>120</v>
      </c>
      <c r="G892" t="s">
        <v>396</v>
      </c>
    </row>
    <row r="893" spans="1:7" x14ac:dyDescent="0.25">
      <c r="A893" s="3">
        <v>43999</v>
      </c>
      <c r="B893" s="2" t="str">
        <f t="shared" si="13"/>
        <v>sa-17-6</v>
      </c>
      <c r="C893" t="s">
        <v>352</v>
      </c>
      <c r="D893" t="s">
        <v>16</v>
      </c>
      <c r="E893">
        <v>2</v>
      </c>
      <c r="F893" s="6">
        <f>VLOOKUP(D893,Products!A$2:C$101,3,FALSE)*E893</f>
        <v>60</v>
      </c>
      <c r="G893" t="s">
        <v>399</v>
      </c>
    </row>
    <row r="894" spans="1:7" x14ac:dyDescent="0.25">
      <c r="A894" s="3">
        <v>44366</v>
      </c>
      <c r="B894" s="2" t="str">
        <f t="shared" si="13"/>
        <v>sa-19-6</v>
      </c>
      <c r="C894" t="s">
        <v>334</v>
      </c>
      <c r="D894" t="s">
        <v>2</v>
      </c>
      <c r="E894">
        <v>2</v>
      </c>
      <c r="F894" s="6">
        <f>VLOOKUP(D894,Products!A$2:C$101,3,FALSE)*E894</f>
        <v>132</v>
      </c>
      <c r="G894" t="s">
        <v>398</v>
      </c>
    </row>
    <row r="895" spans="1:7" x14ac:dyDescent="0.25">
      <c r="A895" s="3">
        <v>43978</v>
      </c>
      <c r="B895" s="2" t="str">
        <f t="shared" si="13"/>
        <v>sa-27-5</v>
      </c>
      <c r="C895" t="s">
        <v>339</v>
      </c>
      <c r="D895" t="s">
        <v>86</v>
      </c>
      <c r="E895">
        <v>3</v>
      </c>
      <c r="F895" s="6">
        <f>VLOOKUP(D895,Products!A$2:C$101,3,FALSE)*E895</f>
        <v>102</v>
      </c>
      <c r="G895" t="s">
        <v>402</v>
      </c>
    </row>
    <row r="896" spans="1:7" x14ac:dyDescent="0.25">
      <c r="A896" s="3">
        <v>44382</v>
      </c>
      <c r="B896" s="2" t="str">
        <f t="shared" si="13"/>
        <v>sa-5-7</v>
      </c>
      <c r="C896" t="s">
        <v>330</v>
      </c>
      <c r="D896" t="s">
        <v>37</v>
      </c>
      <c r="E896">
        <v>3</v>
      </c>
      <c r="F896" s="6">
        <f>VLOOKUP(D896,Products!A$2:C$101,3,FALSE)*E896</f>
        <v>99</v>
      </c>
      <c r="G896" t="s">
        <v>398</v>
      </c>
    </row>
    <row r="897" spans="1:7" x14ac:dyDescent="0.25">
      <c r="A897" s="3">
        <v>43919</v>
      </c>
      <c r="B897" s="2" t="str">
        <f t="shared" si="13"/>
        <v>sa-29-3</v>
      </c>
      <c r="C897" t="s">
        <v>308</v>
      </c>
      <c r="D897" t="s">
        <v>15</v>
      </c>
      <c r="E897">
        <v>6</v>
      </c>
      <c r="F897" s="6">
        <f>VLOOKUP(D897,Products!A$2:C$101,3,FALSE)*E897</f>
        <v>210</v>
      </c>
      <c r="G897" t="s">
        <v>407</v>
      </c>
    </row>
    <row r="898" spans="1:7" x14ac:dyDescent="0.25">
      <c r="A898" s="3">
        <v>44677</v>
      </c>
      <c r="B898" s="2" t="str">
        <f t="shared" si="13"/>
        <v>sa-26-4</v>
      </c>
      <c r="C898" t="s">
        <v>311</v>
      </c>
      <c r="D898" t="s">
        <v>89</v>
      </c>
      <c r="E898">
        <v>4</v>
      </c>
      <c r="F898" s="6">
        <f>VLOOKUP(D898,Products!A$2:C$101,3,FALSE)*E898</f>
        <v>80</v>
      </c>
      <c r="G898" t="s">
        <v>408</v>
      </c>
    </row>
    <row r="899" spans="1:7" x14ac:dyDescent="0.25">
      <c r="A899" s="3">
        <v>44476</v>
      </c>
      <c r="B899" s="2" t="str">
        <f t="shared" ref="B899:B962" si="14">"sa-"&amp;DAY(A899)&amp;"-"&amp;MONTH(A899)</f>
        <v>sa-7-10</v>
      </c>
      <c r="C899" t="s">
        <v>333</v>
      </c>
      <c r="D899" t="s">
        <v>49</v>
      </c>
      <c r="E899">
        <v>5</v>
      </c>
      <c r="F899" s="6">
        <f>VLOOKUP(D899,Products!A$2:C$101,3,FALSE)*E899</f>
        <v>165</v>
      </c>
      <c r="G899" t="s">
        <v>395</v>
      </c>
    </row>
    <row r="900" spans="1:7" x14ac:dyDescent="0.25">
      <c r="A900" s="3">
        <v>44044</v>
      </c>
      <c r="B900" s="2" t="str">
        <f t="shared" si="14"/>
        <v>sa-1-8</v>
      </c>
      <c r="C900" t="s">
        <v>342</v>
      </c>
      <c r="D900" t="s">
        <v>39</v>
      </c>
      <c r="E900">
        <v>2</v>
      </c>
      <c r="F900" s="6">
        <f>VLOOKUP(D900,Products!A$2:C$101,3,FALSE)*E900</f>
        <v>64</v>
      </c>
      <c r="G900" t="s">
        <v>397</v>
      </c>
    </row>
    <row r="901" spans="1:7" x14ac:dyDescent="0.25">
      <c r="A901" s="3">
        <v>44521</v>
      </c>
      <c r="B901" s="2" t="str">
        <f t="shared" si="14"/>
        <v>sa-21-11</v>
      </c>
      <c r="C901" t="s">
        <v>349</v>
      </c>
      <c r="D901" t="s">
        <v>50</v>
      </c>
      <c r="E901">
        <v>2</v>
      </c>
      <c r="F901" s="6">
        <f>VLOOKUP(D901,Products!A$2:C$101,3,FALSE)*E901</f>
        <v>64</v>
      </c>
      <c r="G901" t="s">
        <v>406</v>
      </c>
    </row>
    <row r="902" spans="1:7" x14ac:dyDescent="0.25">
      <c r="A902" s="3">
        <v>44695</v>
      </c>
      <c r="B902" s="2" t="str">
        <f t="shared" si="14"/>
        <v>sa-14-5</v>
      </c>
      <c r="C902" t="s">
        <v>317</v>
      </c>
      <c r="D902" t="s">
        <v>64</v>
      </c>
      <c r="E902">
        <v>5</v>
      </c>
      <c r="F902" s="6">
        <f>VLOOKUP(D902,Products!A$2:C$101,3,FALSE)*E902</f>
        <v>175</v>
      </c>
      <c r="G902" t="s">
        <v>400</v>
      </c>
    </row>
    <row r="903" spans="1:7" x14ac:dyDescent="0.25">
      <c r="A903" s="3">
        <v>43945</v>
      </c>
      <c r="B903" s="2" t="str">
        <f t="shared" si="14"/>
        <v>sa-24-4</v>
      </c>
      <c r="C903" t="s">
        <v>314</v>
      </c>
      <c r="D903" t="s">
        <v>74</v>
      </c>
      <c r="E903">
        <v>4</v>
      </c>
      <c r="F903" s="6">
        <f>VLOOKUP(D903,Products!A$2:C$101,3,FALSE)*E903</f>
        <v>136</v>
      </c>
      <c r="G903" t="s">
        <v>406</v>
      </c>
    </row>
    <row r="904" spans="1:7" x14ac:dyDescent="0.25">
      <c r="A904" s="3">
        <v>44294</v>
      </c>
      <c r="B904" s="2" t="str">
        <f t="shared" si="14"/>
        <v>sa-8-4</v>
      </c>
      <c r="C904" t="s">
        <v>343</v>
      </c>
      <c r="D904" t="s">
        <v>24</v>
      </c>
      <c r="E904">
        <v>4</v>
      </c>
      <c r="F904" s="6">
        <f>VLOOKUP(D904,Products!A$2:C$101,3,FALSE)*E904</f>
        <v>132</v>
      </c>
      <c r="G904" t="s">
        <v>404</v>
      </c>
    </row>
    <row r="905" spans="1:7" x14ac:dyDescent="0.25">
      <c r="A905" s="3">
        <v>44379</v>
      </c>
      <c r="B905" s="2" t="str">
        <f t="shared" si="14"/>
        <v>sa-2-7</v>
      </c>
      <c r="C905" t="s">
        <v>354</v>
      </c>
      <c r="D905" t="s">
        <v>79</v>
      </c>
      <c r="E905">
        <v>3</v>
      </c>
      <c r="F905" s="6">
        <f>VLOOKUP(D905,Products!A$2:C$101,3,FALSE)*E905</f>
        <v>102</v>
      </c>
      <c r="G905" t="s">
        <v>403</v>
      </c>
    </row>
    <row r="906" spans="1:7" x14ac:dyDescent="0.25">
      <c r="A906" s="3">
        <v>43868</v>
      </c>
      <c r="B906" s="2" t="str">
        <f t="shared" si="14"/>
        <v>sa-7-2</v>
      </c>
      <c r="C906" t="s">
        <v>308</v>
      </c>
      <c r="D906" t="s">
        <v>76</v>
      </c>
      <c r="E906">
        <v>5</v>
      </c>
      <c r="F906" s="6">
        <f>VLOOKUP(D906,Products!A$2:C$101,3,FALSE)*E906</f>
        <v>170</v>
      </c>
      <c r="G906" t="s">
        <v>408</v>
      </c>
    </row>
    <row r="907" spans="1:7" x14ac:dyDescent="0.25">
      <c r="A907" s="3">
        <v>44595</v>
      </c>
      <c r="B907" s="2" t="str">
        <f t="shared" si="14"/>
        <v>sa-3-2</v>
      </c>
      <c r="C907" t="s">
        <v>330</v>
      </c>
      <c r="D907" t="s">
        <v>101</v>
      </c>
      <c r="E907">
        <v>2</v>
      </c>
      <c r="F907" s="6">
        <f>VLOOKUP(D907,Products!A$2:C$101,3,FALSE)*E907</f>
        <v>20</v>
      </c>
      <c r="G907" t="s">
        <v>408</v>
      </c>
    </row>
    <row r="908" spans="1:7" x14ac:dyDescent="0.25">
      <c r="A908" s="3">
        <v>44001</v>
      </c>
      <c r="B908" s="2" t="str">
        <f t="shared" si="14"/>
        <v>sa-19-6</v>
      </c>
      <c r="C908" t="s">
        <v>326</v>
      </c>
      <c r="D908" t="s">
        <v>77</v>
      </c>
      <c r="E908">
        <v>5</v>
      </c>
      <c r="F908" s="6">
        <f>VLOOKUP(D908,Products!A$2:C$101,3,FALSE)*E908</f>
        <v>170</v>
      </c>
      <c r="G908" t="s">
        <v>395</v>
      </c>
    </row>
    <row r="909" spans="1:7" x14ac:dyDescent="0.25">
      <c r="A909" s="3">
        <v>44373</v>
      </c>
      <c r="B909" s="2" t="str">
        <f t="shared" si="14"/>
        <v>sa-26-6</v>
      </c>
      <c r="C909" t="s">
        <v>347</v>
      </c>
      <c r="D909" t="s">
        <v>42</v>
      </c>
      <c r="E909">
        <v>6</v>
      </c>
      <c r="F909" s="6">
        <f>VLOOKUP(D909,Products!A$2:C$101,3,FALSE)*E909</f>
        <v>204</v>
      </c>
      <c r="G909" t="s">
        <v>395</v>
      </c>
    </row>
    <row r="910" spans="1:7" x14ac:dyDescent="0.25">
      <c r="A910" s="3">
        <v>44188</v>
      </c>
      <c r="B910" s="2" t="str">
        <f t="shared" si="14"/>
        <v>sa-23-12</v>
      </c>
      <c r="C910" t="s">
        <v>343</v>
      </c>
      <c r="D910" t="s">
        <v>39</v>
      </c>
      <c r="E910">
        <v>6</v>
      </c>
      <c r="F910" s="6">
        <f>VLOOKUP(D910,Products!A$2:C$101,3,FALSE)*E910</f>
        <v>192</v>
      </c>
      <c r="G910" t="s">
        <v>402</v>
      </c>
    </row>
    <row r="911" spans="1:7" x14ac:dyDescent="0.25">
      <c r="A911" s="3">
        <v>44131</v>
      </c>
      <c r="B911" s="2" t="str">
        <f t="shared" si="14"/>
        <v>sa-27-10</v>
      </c>
      <c r="C911" t="s">
        <v>321</v>
      </c>
      <c r="D911" t="s">
        <v>51</v>
      </c>
      <c r="E911">
        <v>6</v>
      </c>
      <c r="F911" s="6">
        <f>VLOOKUP(D911,Products!A$2:C$101,3,FALSE)*E911</f>
        <v>186</v>
      </c>
      <c r="G911" t="s">
        <v>406</v>
      </c>
    </row>
    <row r="912" spans="1:7" x14ac:dyDescent="0.25">
      <c r="A912" s="3">
        <v>44492</v>
      </c>
      <c r="B912" s="2" t="str">
        <f t="shared" si="14"/>
        <v>sa-23-10</v>
      </c>
      <c r="C912" t="s">
        <v>320</v>
      </c>
      <c r="D912" t="s">
        <v>50</v>
      </c>
      <c r="E912">
        <v>2</v>
      </c>
      <c r="F912" s="6">
        <f>VLOOKUP(D912,Products!A$2:C$101,3,FALSE)*E912</f>
        <v>64</v>
      </c>
      <c r="G912" t="s">
        <v>408</v>
      </c>
    </row>
    <row r="913" spans="1:7" x14ac:dyDescent="0.25">
      <c r="A913" s="3">
        <v>44099</v>
      </c>
      <c r="B913" s="2" t="str">
        <f t="shared" si="14"/>
        <v>sa-25-9</v>
      </c>
      <c r="C913" t="s">
        <v>330</v>
      </c>
      <c r="D913" t="s">
        <v>99</v>
      </c>
      <c r="E913">
        <v>2</v>
      </c>
      <c r="F913" s="6">
        <f>VLOOKUP(D913,Products!A$2:C$101,3,FALSE)*E913</f>
        <v>30</v>
      </c>
      <c r="G913" t="s">
        <v>395</v>
      </c>
    </row>
    <row r="914" spans="1:7" x14ac:dyDescent="0.25">
      <c r="A914" s="3">
        <v>44330</v>
      </c>
      <c r="B914" s="2" t="str">
        <f t="shared" si="14"/>
        <v>sa-14-5</v>
      </c>
      <c r="C914" t="s">
        <v>329</v>
      </c>
      <c r="D914" t="s">
        <v>33</v>
      </c>
      <c r="E914">
        <v>6</v>
      </c>
      <c r="F914" s="6">
        <f>VLOOKUP(D914,Products!A$2:C$101,3,FALSE)*E914</f>
        <v>198</v>
      </c>
      <c r="G914" t="s">
        <v>405</v>
      </c>
    </row>
    <row r="915" spans="1:7" x14ac:dyDescent="0.25">
      <c r="A915" s="3">
        <v>44117</v>
      </c>
      <c r="B915" s="2" t="str">
        <f t="shared" si="14"/>
        <v>sa-13-10</v>
      </c>
      <c r="C915" t="s">
        <v>345</v>
      </c>
      <c r="D915" t="s">
        <v>37</v>
      </c>
      <c r="E915">
        <v>3</v>
      </c>
      <c r="F915" s="6">
        <f>VLOOKUP(D915,Products!A$2:C$101,3,FALSE)*E915</f>
        <v>99</v>
      </c>
      <c r="G915" t="s">
        <v>404</v>
      </c>
    </row>
    <row r="916" spans="1:7" x14ac:dyDescent="0.25">
      <c r="A916" s="3">
        <v>43989</v>
      </c>
      <c r="B916" s="2" t="str">
        <f t="shared" si="14"/>
        <v>sa-7-6</v>
      </c>
      <c r="C916" t="s">
        <v>307</v>
      </c>
      <c r="D916" t="s">
        <v>75</v>
      </c>
      <c r="E916">
        <v>5</v>
      </c>
      <c r="F916" s="6">
        <f>VLOOKUP(D916,Products!A$2:C$101,3,FALSE)*E916</f>
        <v>170</v>
      </c>
      <c r="G916" t="s">
        <v>408</v>
      </c>
    </row>
    <row r="917" spans="1:7" x14ac:dyDescent="0.25">
      <c r="A917" s="3">
        <v>44305</v>
      </c>
      <c r="B917" s="2" t="str">
        <f t="shared" si="14"/>
        <v>sa-19-4</v>
      </c>
      <c r="C917" t="s">
        <v>327</v>
      </c>
      <c r="D917" t="s">
        <v>4</v>
      </c>
      <c r="E917">
        <v>3</v>
      </c>
      <c r="F917" s="6">
        <f>VLOOKUP(D917,Products!A$2:C$101,3,FALSE)*E917</f>
        <v>213</v>
      </c>
      <c r="G917" t="s">
        <v>395</v>
      </c>
    </row>
    <row r="918" spans="1:7" x14ac:dyDescent="0.25">
      <c r="A918" s="3">
        <v>44531</v>
      </c>
      <c r="B918" s="2" t="str">
        <f t="shared" si="14"/>
        <v>sa-1-12</v>
      </c>
      <c r="C918" t="s">
        <v>308</v>
      </c>
      <c r="D918" t="s">
        <v>3</v>
      </c>
      <c r="E918">
        <v>2</v>
      </c>
      <c r="F918" s="6">
        <f>VLOOKUP(D918,Products!A$2:C$101,3,FALSE)*E918</f>
        <v>148</v>
      </c>
      <c r="G918" t="s">
        <v>397</v>
      </c>
    </row>
    <row r="919" spans="1:7" x14ac:dyDescent="0.25">
      <c r="A919" s="3">
        <v>44579</v>
      </c>
      <c r="B919" s="2" t="str">
        <f t="shared" si="14"/>
        <v>sa-18-1</v>
      </c>
      <c r="C919" t="s">
        <v>309</v>
      </c>
      <c r="D919" t="s">
        <v>94</v>
      </c>
      <c r="E919">
        <v>5</v>
      </c>
      <c r="F919" s="6">
        <f>VLOOKUP(D919,Products!A$2:C$101,3,FALSE)*E919</f>
        <v>95</v>
      </c>
      <c r="G919" t="s">
        <v>407</v>
      </c>
    </row>
    <row r="920" spans="1:7" x14ac:dyDescent="0.25">
      <c r="A920" s="3">
        <v>44503</v>
      </c>
      <c r="B920" s="2" t="str">
        <f t="shared" si="14"/>
        <v>sa-3-11</v>
      </c>
      <c r="C920" t="s">
        <v>332</v>
      </c>
      <c r="D920" t="s">
        <v>91</v>
      </c>
      <c r="E920">
        <v>6</v>
      </c>
      <c r="F920" s="6">
        <f>VLOOKUP(D920,Products!A$2:C$101,3,FALSE)*E920</f>
        <v>102</v>
      </c>
      <c r="G920" t="s">
        <v>398</v>
      </c>
    </row>
    <row r="921" spans="1:7" x14ac:dyDescent="0.25">
      <c r="A921" s="3">
        <v>44415</v>
      </c>
      <c r="B921" s="2" t="str">
        <f t="shared" si="14"/>
        <v>sa-7-8</v>
      </c>
      <c r="C921" t="s">
        <v>315</v>
      </c>
      <c r="D921" t="s">
        <v>53</v>
      </c>
      <c r="E921">
        <v>5</v>
      </c>
      <c r="F921" s="6">
        <f>VLOOKUP(D921,Products!A$2:C$101,3,FALSE)*E921</f>
        <v>160</v>
      </c>
      <c r="G921" t="s">
        <v>401</v>
      </c>
    </row>
    <row r="922" spans="1:7" x14ac:dyDescent="0.25">
      <c r="A922" s="3">
        <v>44677</v>
      </c>
      <c r="B922" s="2" t="str">
        <f t="shared" si="14"/>
        <v>sa-26-4</v>
      </c>
      <c r="C922" t="s">
        <v>336</v>
      </c>
      <c r="D922" t="s">
        <v>99</v>
      </c>
      <c r="E922">
        <v>2</v>
      </c>
      <c r="F922" s="6">
        <f>VLOOKUP(D922,Products!A$2:C$101,3,FALSE)*E922</f>
        <v>30</v>
      </c>
      <c r="G922" t="s">
        <v>399</v>
      </c>
    </row>
    <row r="923" spans="1:7" x14ac:dyDescent="0.25">
      <c r="A923" s="3">
        <v>44517</v>
      </c>
      <c r="B923" s="2" t="str">
        <f t="shared" si="14"/>
        <v>sa-17-11</v>
      </c>
      <c r="C923" t="s">
        <v>345</v>
      </c>
      <c r="D923" t="s">
        <v>55</v>
      </c>
      <c r="E923">
        <v>3</v>
      </c>
      <c r="F923" s="6">
        <f>VLOOKUP(D923,Products!A$2:C$101,3,FALSE)*E923</f>
        <v>96</v>
      </c>
      <c r="G923" t="s">
        <v>407</v>
      </c>
    </row>
    <row r="924" spans="1:7" x14ac:dyDescent="0.25">
      <c r="A924" s="3">
        <v>44003</v>
      </c>
      <c r="B924" s="2" t="str">
        <f t="shared" si="14"/>
        <v>sa-21-6</v>
      </c>
      <c r="C924" t="s">
        <v>310</v>
      </c>
      <c r="D924" t="s">
        <v>8</v>
      </c>
      <c r="E924">
        <v>5</v>
      </c>
      <c r="F924" s="6">
        <f>VLOOKUP(D924,Products!A$2:C$101,3,FALSE)*E924</f>
        <v>315</v>
      </c>
      <c r="G924" t="s">
        <v>396</v>
      </c>
    </row>
    <row r="925" spans="1:7" x14ac:dyDescent="0.25">
      <c r="A925" s="3">
        <v>44138</v>
      </c>
      <c r="B925" s="2" t="str">
        <f t="shared" si="14"/>
        <v>sa-3-11</v>
      </c>
      <c r="C925" t="s">
        <v>326</v>
      </c>
      <c r="D925" t="s">
        <v>90</v>
      </c>
      <c r="E925">
        <v>2</v>
      </c>
      <c r="F925" s="6">
        <f>VLOOKUP(D925,Products!A$2:C$101,3,FALSE)*E925</f>
        <v>20</v>
      </c>
      <c r="G925" t="s">
        <v>405</v>
      </c>
    </row>
    <row r="926" spans="1:7" x14ac:dyDescent="0.25">
      <c r="A926" s="3">
        <v>43966</v>
      </c>
      <c r="B926" s="2" t="str">
        <f t="shared" si="14"/>
        <v>sa-15-5</v>
      </c>
      <c r="C926" t="s">
        <v>353</v>
      </c>
      <c r="D926" t="s">
        <v>4</v>
      </c>
      <c r="E926">
        <v>2</v>
      </c>
      <c r="F926" s="6">
        <f>VLOOKUP(D926,Products!A$2:C$101,3,FALSE)*E926</f>
        <v>142</v>
      </c>
      <c r="G926" t="s">
        <v>396</v>
      </c>
    </row>
    <row r="927" spans="1:7" x14ac:dyDescent="0.25">
      <c r="A927" s="3">
        <v>43938</v>
      </c>
      <c r="B927" s="2" t="str">
        <f t="shared" si="14"/>
        <v>sa-17-4</v>
      </c>
      <c r="C927" t="s">
        <v>323</v>
      </c>
      <c r="D927" t="s">
        <v>87</v>
      </c>
      <c r="E927">
        <v>4</v>
      </c>
      <c r="F927" s="6">
        <f>VLOOKUP(D927,Products!A$2:C$101,3,FALSE)*E927</f>
        <v>52</v>
      </c>
      <c r="G927" t="s">
        <v>406</v>
      </c>
    </row>
    <row r="928" spans="1:7" x14ac:dyDescent="0.25">
      <c r="A928" s="3">
        <v>44264</v>
      </c>
      <c r="B928" s="2" t="str">
        <f t="shared" si="14"/>
        <v>sa-9-3</v>
      </c>
      <c r="C928" t="s">
        <v>320</v>
      </c>
      <c r="D928" t="s">
        <v>55</v>
      </c>
      <c r="E928">
        <v>2</v>
      </c>
      <c r="F928" s="6">
        <f>VLOOKUP(D928,Products!A$2:C$101,3,FALSE)*E928</f>
        <v>64</v>
      </c>
      <c r="G928" t="s">
        <v>400</v>
      </c>
    </row>
    <row r="929" spans="1:7" x14ac:dyDescent="0.25">
      <c r="A929" s="3">
        <v>44696</v>
      </c>
      <c r="B929" s="2" t="str">
        <f t="shared" si="14"/>
        <v>sa-15-5</v>
      </c>
      <c r="C929" t="s">
        <v>352</v>
      </c>
      <c r="D929" t="s">
        <v>100</v>
      </c>
      <c r="E929">
        <v>6</v>
      </c>
      <c r="F929" s="6">
        <f>VLOOKUP(D929,Products!A$2:C$101,3,FALSE)*E929</f>
        <v>90</v>
      </c>
      <c r="G929" t="s">
        <v>403</v>
      </c>
    </row>
    <row r="930" spans="1:7" x14ac:dyDescent="0.25">
      <c r="A930" s="3">
        <v>44565</v>
      </c>
      <c r="B930" s="2" t="str">
        <f t="shared" si="14"/>
        <v>sa-4-1</v>
      </c>
      <c r="C930" t="s">
        <v>320</v>
      </c>
      <c r="D930" t="s">
        <v>93</v>
      </c>
      <c r="E930">
        <v>5</v>
      </c>
      <c r="F930" s="6">
        <f>VLOOKUP(D930,Products!A$2:C$101,3,FALSE)*E930</f>
        <v>85</v>
      </c>
      <c r="G930" t="s">
        <v>408</v>
      </c>
    </row>
    <row r="931" spans="1:7" x14ac:dyDescent="0.25">
      <c r="A931" s="3">
        <v>44508</v>
      </c>
      <c r="B931" s="2" t="str">
        <f t="shared" si="14"/>
        <v>sa-8-11</v>
      </c>
      <c r="C931" t="s">
        <v>311</v>
      </c>
      <c r="D931" t="s">
        <v>73</v>
      </c>
      <c r="E931">
        <v>5</v>
      </c>
      <c r="F931" s="6">
        <f>VLOOKUP(D931,Products!A$2:C$101,3,FALSE)*E931</f>
        <v>175</v>
      </c>
      <c r="G931" t="s">
        <v>406</v>
      </c>
    </row>
    <row r="932" spans="1:7" x14ac:dyDescent="0.25">
      <c r="A932" s="3">
        <v>44715</v>
      </c>
      <c r="B932" s="2" t="str">
        <f t="shared" si="14"/>
        <v>sa-3-6</v>
      </c>
      <c r="C932" t="s">
        <v>331</v>
      </c>
      <c r="D932" t="s">
        <v>88</v>
      </c>
      <c r="E932">
        <v>3</v>
      </c>
      <c r="F932" s="6">
        <f>VLOOKUP(D932,Products!A$2:C$101,3,FALSE)*E932</f>
        <v>51</v>
      </c>
      <c r="G932" t="s">
        <v>401</v>
      </c>
    </row>
    <row r="933" spans="1:7" x14ac:dyDescent="0.25">
      <c r="A933" s="3">
        <v>43952</v>
      </c>
      <c r="B933" s="2" t="str">
        <f t="shared" si="14"/>
        <v>sa-1-5</v>
      </c>
      <c r="C933" t="s">
        <v>342</v>
      </c>
      <c r="D933" t="s">
        <v>10</v>
      </c>
      <c r="E933">
        <v>2</v>
      </c>
      <c r="F933" s="6">
        <f>VLOOKUP(D933,Products!A$2:C$101,3,FALSE)*E933</f>
        <v>144</v>
      </c>
      <c r="G933" t="s">
        <v>397</v>
      </c>
    </row>
    <row r="934" spans="1:7" x14ac:dyDescent="0.25">
      <c r="A934" s="3">
        <v>44301</v>
      </c>
      <c r="B934" s="2" t="str">
        <f t="shared" si="14"/>
        <v>sa-15-4</v>
      </c>
      <c r="C934" t="s">
        <v>331</v>
      </c>
      <c r="D934" t="s">
        <v>42</v>
      </c>
      <c r="E934">
        <v>2</v>
      </c>
      <c r="F934" s="6">
        <f>VLOOKUP(D934,Products!A$2:C$101,3,FALSE)*E934</f>
        <v>68</v>
      </c>
      <c r="G934" t="s">
        <v>406</v>
      </c>
    </row>
    <row r="935" spans="1:7" x14ac:dyDescent="0.25">
      <c r="A935" s="3">
        <v>44633</v>
      </c>
      <c r="B935" s="2" t="str">
        <f t="shared" si="14"/>
        <v>sa-13-3</v>
      </c>
      <c r="C935" t="s">
        <v>317</v>
      </c>
      <c r="D935" t="s">
        <v>25</v>
      </c>
      <c r="E935">
        <v>4</v>
      </c>
      <c r="F935" s="6">
        <f>VLOOKUP(D935,Products!A$2:C$101,3,FALSE)*E935</f>
        <v>132</v>
      </c>
      <c r="G935" t="s">
        <v>407</v>
      </c>
    </row>
    <row r="936" spans="1:7" x14ac:dyDescent="0.25">
      <c r="A936" s="3">
        <v>44585</v>
      </c>
      <c r="B936" s="2" t="str">
        <f t="shared" si="14"/>
        <v>sa-24-1</v>
      </c>
      <c r="C936" t="s">
        <v>348</v>
      </c>
      <c r="D936" t="s">
        <v>27</v>
      </c>
      <c r="E936">
        <v>3</v>
      </c>
      <c r="F936" s="6">
        <f>VLOOKUP(D936,Products!A$2:C$101,3,FALSE)*E936</f>
        <v>102</v>
      </c>
      <c r="G936" t="s">
        <v>402</v>
      </c>
    </row>
    <row r="937" spans="1:7" x14ac:dyDescent="0.25">
      <c r="A937" s="3">
        <v>44126</v>
      </c>
      <c r="B937" s="2" t="str">
        <f t="shared" si="14"/>
        <v>sa-22-10</v>
      </c>
      <c r="C937" t="s">
        <v>325</v>
      </c>
      <c r="D937" t="s">
        <v>69</v>
      </c>
      <c r="E937">
        <v>3</v>
      </c>
      <c r="F937" s="6">
        <f>VLOOKUP(D937,Products!A$2:C$101,3,FALSE)*E937</f>
        <v>90</v>
      </c>
      <c r="G937" t="s">
        <v>398</v>
      </c>
    </row>
    <row r="938" spans="1:7" x14ac:dyDescent="0.25">
      <c r="A938" s="3">
        <v>43980</v>
      </c>
      <c r="B938" s="2" t="str">
        <f t="shared" si="14"/>
        <v>sa-29-5</v>
      </c>
      <c r="C938" t="s">
        <v>307</v>
      </c>
      <c r="D938" t="s">
        <v>55</v>
      </c>
      <c r="E938">
        <v>3</v>
      </c>
      <c r="F938" s="6">
        <f>VLOOKUP(D938,Products!A$2:C$101,3,FALSE)*E938</f>
        <v>96</v>
      </c>
      <c r="G938" t="s">
        <v>404</v>
      </c>
    </row>
    <row r="939" spans="1:7" x14ac:dyDescent="0.25">
      <c r="A939" s="3">
        <v>43885</v>
      </c>
      <c r="B939" s="2" t="str">
        <f t="shared" si="14"/>
        <v>sa-24-2</v>
      </c>
      <c r="C939" t="s">
        <v>352</v>
      </c>
      <c r="D939" t="s">
        <v>52</v>
      </c>
      <c r="E939">
        <v>6</v>
      </c>
      <c r="F939" s="6">
        <f>VLOOKUP(D939,Products!A$2:C$101,3,FALSE)*E939</f>
        <v>198</v>
      </c>
      <c r="G939" t="s">
        <v>404</v>
      </c>
    </row>
    <row r="940" spans="1:7" x14ac:dyDescent="0.25">
      <c r="A940" s="3">
        <v>44160</v>
      </c>
      <c r="B940" s="2" t="str">
        <f t="shared" si="14"/>
        <v>sa-25-11</v>
      </c>
      <c r="C940" t="s">
        <v>351</v>
      </c>
      <c r="D940" t="s">
        <v>5</v>
      </c>
      <c r="E940">
        <v>2</v>
      </c>
      <c r="F940" s="6">
        <f>VLOOKUP(D940,Products!A$2:C$101,3,FALSE)*E940</f>
        <v>160</v>
      </c>
      <c r="G940" t="s">
        <v>406</v>
      </c>
    </row>
    <row r="941" spans="1:7" x14ac:dyDescent="0.25">
      <c r="A941" s="3">
        <v>44030</v>
      </c>
      <c r="B941" s="2" t="str">
        <f t="shared" si="14"/>
        <v>sa-18-7</v>
      </c>
      <c r="C941" t="s">
        <v>348</v>
      </c>
      <c r="D941" t="s">
        <v>8</v>
      </c>
      <c r="E941">
        <v>4</v>
      </c>
      <c r="F941" s="6">
        <f>VLOOKUP(D941,Products!A$2:C$101,3,FALSE)*E941</f>
        <v>252</v>
      </c>
      <c r="G941" t="s">
        <v>399</v>
      </c>
    </row>
    <row r="942" spans="1:7" x14ac:dyDescent="0.25">
      <c r="A942" s="3">
        <v>43908</v>
      </c>
      <c r="B942" s="2" t="str">
        <f t="shared" si="14"/>
        <v>sa-18-3</v>
      </c>
      <c r="C942" t="s">
        <v>310</v>
      </c>
      <c r="D942" t="s">
        <v>20</v>
      </c>
      <c r="E942">
        <v>2</v>
      </c>
      <c r="F942" s="6">
        <f>VLOOKUP(D942,Products!A$2:C$101,3,FALSE)*E942</f>
        <v>66</v>
      </c>
      <c r="G942" t="s">
        <v>401</v>
      </c>
    </row>
    <row r="943" spans="1:7" x14ac:dyDescent="0.25">
      <c r="A943" s="3">
        <v>43892</v>
      </c>
      <c r="B943" s="2" t="str">
        <f t="shared" si="14"/>
        <v>sa-2-3</v>
      </c>
      <c r="C943" t="s">
        <v>346</v>
      </c>
      <c r="D943" t="s">
        <v>22</v>
      </c>
      <c r="E943">
        <v>2</v>
      </c>
      <c r="F943" s="6">
        <f>VLOOKUP(D943,Products!A$2:C$101,3,FALSE)*E943</f>
        <v>68</v>
      </c>
      <c r="G943" t="s">
        <v>400</v>
      </c>
    </row>
    <row r="944" spans="1:7" x14ac:dyDescent="0.25">
      <c r="A944" s="3">
        <v>44503</v>
      </c>
      <c r="B944" s="2" t="str">
        <f t="shared" si="14"/>
        <v>sa-3-11</v>
      </c>
      <c r="C944" t="s">
        <v>345</v>
      </c>
      <c r="D944" t="s">
        <v>72</v>
      </c>
      <c r="E944">
        <v>6</v>
      </c>
      <c r="F944" s="6">
        <f>VLOOKUP(D944,Products!A$2:C$101,3,FALSE)*E944</f>
        <v>186</v>
      </c>
      <c r="G944" t="s">
        <v>401</v>
      </c>
    </row>
    <row r="945" spans="1:7" x14ac:dyDescent="0.25">
      <c r="A945" s="3">
        <v>44620</v>
      </c>
      <c r="B945" s="2" t="str">
        <f t="shared" si="14"/>
        <v>sa-28-2</v>
      </c>
      <c r="C945" t="s">
        <v>309</v>
      </c>
      <c r="D945" t="s">
        <v>34</v>
      </c>
      <c r="E945">
        <v>2</v>
      </c>
      <c r="F945" s="6">
        <f>VLOOKUP(D945,Products!A$2:C$101,3,FALSE)*E945</f>
        <v>70</v>
      </c>
      <c r="G945" t="s">
        <v>400</v>
      </c>
    </row>
    <row r="946" spans="1:7" x14ac:dyDescent="0.25">
      <c r="A946" s="3">
        <v>44269</v>
      </c>
      <c r="B946" s="2" t="str">
        <f t="shared" si="14"/>
        <v>sa-14-3</v>
      </c>
      <c r="C946" t="s">
        <v>310</v>
      </c>
      <c r="D946" t="s">
        <v>74</v>
      </c>
      <c r="E946">
        <v>2</v>
      </c>
      <c r="F946" s="6">
        <f>VLOOKUP(D946,Products!A$2:C$101,3,FALSE)*E946</f>
        <v>68</v>
      </c>
      <c r="G946" t="s">
        <v>403</v>
      </c>
    </row>
    <row r="947" spans="1:7" x14ac:dyDescent="0.25">
      <c r="A947" s="3">
        <v>44542</v>
      </c>
      <c r="B947" s="2" t="str">
        <f t="shared" si="14"/>
        <v>sa-12-12</v>
      </c>
      <c r="C947" t="s">
        <v>330</v>
      </c>
      <c r="D947" t="s">
        <v>48</v>
      </c>
      <c r="E947">
        <v>4</v>
      </c>
      <c r="F947" s="6">
        <f>VLOOKUP(D947,Products!A$2:C$101,3,FALSE)*E947</f>
        <v>132</v>
      </c>
      <c r="G947" t="s">
        <v>405</v>
      </c>
    </row>
    <row r="948" spans="1:7" x14ac:dyDescent="0.25">
      <c r="A948" s="3">
        <v>44433</v>
      </c>
      <c r="B948" s="2" t="str">
        <f t="shared" si="14"/>
        <v>sa-25-8</v>
      </c>
      <c r="C948" t="s">
        <v>349</v>
      </c>
      <c r="D948" t="s">
        <v>86</v>
      </c>
      <c r="E948">
        <v>3</v>
      </c>
      <c r="F948" s="6">
        <f>VLOOKUP(D948,Products!A$2:C$101,3,FALSE)*E948</f>
        <v>102</v>
      </c>
      <c r="G948" t="s">
        <v>406</v>
      </c>
    </row>
    <row r="949" spans="1:7" x14ac:dyDescent="0.25">
      <c r="A949" s="3">
        <v>44037</v>
      </c>
      <c r="B949" s="2" t="str">
        <f t="shared" si="14"/>
        <v>sa-25-7</v>
      </c>
      <c r="C949" t="s">
        <v>352</v>
      </c>
      <c r="D949" t="s">
        <v>63</v>
      </c>
      <c r="E949">
        <v>3</v>
      </c>
      <c r="F949" s="6">
        <f>VLOOKUP(D949,Products!A$2:C$101,3,FALSE)*E949</f>
        <v>99</v>
      </c>
      <c r="G949" t="s">
        <v>400</v>
      </c>
    </row>
    <row r="950" spans="1:7" x14ac:dyDescent="0.25">
      <c r="A950" s="3">
        <v>44327</v>
      </c>
      <c r="B950" s="2" t="str">
        <f t="shared" si="14"/>
        <v>sa-11-5</v>
      </c>
      <c r="C950" t="s">
        <v>335</v>
      </c>
      <c r="D950" t="s">
        <v>73</v>
      </c>
      <c r="E950">
        <v>6</v>
      </c>
      <c r="F950" s="6">
        <f>VLOOKUP(D950,Products!A$2:C$101,3,FALSE)*E950</f>
        <v>210</v>
      </c>
      <c r="G950" t="s">
        <v>396</v>
      </c>
    </row>
    <row r="951" spans="1:7" x14ac:dyDescent="0.25">
      <c r="A951" s="3">
        <v>44709</v>
      </c>
      <c r="B951" s="2" t="str">
        <f t="shared" si="14"/>
        <v>sa-28-5</v>
      </c>
      <c r="C951" t="s">
        <v>333</v>
      </c>
      <c r="D951" t="s">
        <v>28</v>
      </c>
      <c r="E951">
        <v>5</v>
      </c>
      <c r="F951" s="6">
        <f>VLOOKUP(D951,Products!A$2:C$101,3,FALSE)*E951</f>
        <v>150</v>
      </c>
      <c r="G951" t="s">
        <v>406</v>
      </c>
    </row>
    <row r="952" spans="1:7" x14ac:dyDescent="0.25">
      <c r="A952" s="3">
        <v>44457</v>
      </c>
      <c r="B952" s="2" t="str">
        <f t="shared" si="14"/>
        <v>sa-18-9</v>
      </c>
      <c r="C952" t="s">
        <v>331</v>
      </c>
      <c r="D952" t="s">
        <v>60</v>
      </c>
      <c r="E952">
        <v>5</v>
      </c>
      <c r="F952" s="6">
        <f>VLOOKUP(D952,Products!A$2:C$101,3,FALSE)*E952</f>
        <v>150</v>
      </c>
      <c r="G952" t="s">
        <v>401</v>
      </c>
    </row>
    <row r="953" spans="1:7" x14ac:dyDescent="0.25">
      <c r="A953" s="3">
        <v>44276</v>
      </c>
      <c r="B953" s="2" t="str">
        <f t="shared" si="14"/>
        <v>sa-21-3</v>
      </c>
      <c r="C953" t="s">
        <v>334</v>
      </c>
      <c r="D953" t="s">
        <v>86</v>
      </c>
      <c r="E953">
        <v>2</v>
      </c>
      <c r="F953" s="6">
        <f>VLOOKUP(D953,Products!A$2:C$101,3,FALSE)*E953</f>
        <v>68</v>
      </c>
      <c r="G953" t="s">
        <v>398</v>
      </c>
    </row>
    <row r="954" spans="1:7" x14ac:dyDescent="0.25">
      <c r="A954" s="3">
        <v>44696</v>
      </c>
      <c r="B954" s="2" t="str">
        <f t="shared" si="14"/>
        <v>sa-15-5</v>
      </c>
      <c r="C954" t="s">
        <v>311</v>
      </c>
      <c r="D954" t="s">
        <v>32</v>
      </c>
      <c r="E954">
        <v>4</v>
      </c>
      <c r="F954" s="6">
        <f>VLOOKUP(D954,Products!A$2:C$101,3,FALSE)*E954</f>
        <v>136</v>
      </c>
      <c r="G954" t="s">
        <v>399</v>
      </c>
    </row>
    <row r="955" spans="1:7" x14ac:dyDescent="0.25">
      <c r="A955" s="3">
        <v>44219</v>
      </c>
      <c r="B955" s="2" t="str">
        <f t="shared" si="14"/>
        <v>sa-23-1</v>
      </c>
      <c r="C955" t="s">
        <v>344</v>
      </c>
      <c r="D955" t="s">
        <v>13</v>
      </c>
      <c r="E955">
        <v>3</v>
      </c>
      <c r="F955" s="6">
        <f>VLOOKUP(D955,Products!A$2:C$101,3,FALSE)*E955</f>
        <v>213</v>
      </c>
      <c r="G955" t="s">
        <v>402</v>
      </c>
    </row>
    <row r="956" spans="1:7" x14ac:dyDescent="0.25">
      <c r="A956" s="3">
        <v>44189</v>
      </c>
      <c r="B956" s="2" t="str">
        <f t="shared" si="14"/>
        <v>sa-24-12</v>
      </c>
      <c r="C956" t="s">
        <v>310</v>
      </c>
      <c r="D956" t="s">
        <v>12</v>
      </c>
      <c r="E956">
        <v>2</v>
      </c>
      <c r="F956" s="6">
        <f>VLOOKUP(D956,Products!A$2:C$101,3,FALSE)*E956</f>
        <v>148</v>
      </c>
      <c r="G956" t="s">
        <v>405</v>
      </c>
    </row>
    <row r="957" spans="1:7" x14ac:dyDescent="0.25">
      <c r="A957" s="3">
        <v>44278</v>
      </c>
      <c r="B957" s="2" t="str">
        <f t="shared" si="14"/>
        <v>sa-23-3</v>
      </c>
      <c r="C957" t="s">
        <v>349</v>
      </c>
      <c r="D957" t="s">
        <v>89</v>
      </c>
      <c r="E957">
        <v>4</v>
      </c>
      <c r="F957" s="6">
        <f>VLOOKUP(D957,Products!A$2:C$101,3,FALSE)*E957</f>
        <v>80</v>
      </c>
      <c r="G957" t="s">
        <v>405</v>
      </c>
    </row>
    <row r="958" spans="1:7" x14ac:dyDescent="0.25">
      <c r="A958" s="3">
        <v>44082</v>
      </c>
      <c r="B958" s="2" t="str">
        <f t="shared" si="14"/>
        <v>sa-8-9</v>
      </c>
      <c r="C958" t="s">
        <v>352</v>
      </c>
      <c r="D958" t="s">
        <v>81</v>
      </c>
      <c r="E958">
        <v>3</v>
      </c>
      <c r="F958" s="6">
        <f>VLOOKUP(D958,Products!A$2:C$101,3,FALSE)*E958</f>
        <v>96</v>
      </c>
      <c r="G958" t="s">
        <v>408</v>
      </c>
    </row>
    <row r="959" spans="1:7" x14ac:dyDescent="0.25">
      <c r="A959" s="3">
        <v>44699</v>
      </c>
      <c r="B959" s="2" t="str">
        <f t="shared" si="14"/>
        <v>sa-18-5</v>
      </c>
      <c r="C959" t="s">
        <v>316</v>
      </c>
      <c r="D959" t="s">
        <v>61</v>
      </c>
      <c r="E959">
        <v>4</v>
      </c>
      <c r="F959" s="6">
        <f>VLOOKUP(D959,Products!A$2:C$101,3,FALSE)*E959</f>
        <v>124</v>
      </c>
      <c r="G959" t="s">
        <v>400</v>
      </c>
    </row>
    <row r="960" spans="1:7" x14ac:dyDescent="0.25">
      <c r="A960" s="3">
        <v>44199</v>
      </c>
      <c r="B960" s="2" t="str">
        <f t="shared" si="14"/>
        <v>sa-3-1</v>
      </c>
      <c r="C960" t="s">
        <v>320</v>
      </c>
      <c r="D960" t="s">
        <v>99</v>
      </c>
      <c r="E960">
        <v>5</v>
      </c>
      <c r="F960" s="6">
        <f>VLOOKUP(D960,Products!A$2:C$101,3,FALSE)*E960</f>
        <v>75</v>
      </c>
      <c r="G960" t="s">
        <v>403</v>
      </c>
    </row>
    <row r="961" spans="1:7" x14ac:dyDescent="0.25">
      <c r="A961" s="3">
        <v>44376</v>
      </c>
      <c r="B961" s="2" t="str">
        <f t="shared" si="14"/>
        <v>sa-29-6</v>
      </c>
      <c r="C961" t="s">
        <v>333</v>
      </c>
      <c r="D961" t="s">
        <v>64</v>
      </c>
      <c r="E961">
        <v>2</v>
      </c>
      <c r="F961" s="6">
        <f>VLOOKUP(D961,Products!A$2:C$101,3,FALSE)*E961</f>
        <v>70</v>
      </c>
      <c r="G961" t="s">
        <v>399</v>
      </c>
    </row>
    <row r="962" spans="1:7" x14ac:dyDescent="0.25">
      <c r="A962" s="3">
        <v>43882</v>
      </c>
      <c r="B962" s="2" t="str">
        <f t="shared" si="14"/>
        <v>sa-21-2</v>
      </c>
      <c r="C962" t="s">
        <v>314</v>
      </c>
      <c r="D962" t="s">
        <v>68</v>
      </c>
      <c r="E962">
        <v>2</v>
      </c>
      <c r="F962" s="6">
        <f>VLOOKUP(D962,Products!A$2:C$101,3,FALSE)*E962</f>
        <v>64</v>
      </c>
      <c r="G962" t="s">
        <v>398</v>
      </c>
    </row>
    <row r="963" spans="1:7" x14ac:dyDescent="0.25">
      <c r="A963" s="3">
        <v>44101</v>
      </c>
      <c r="B963" s="2" t="str">
        <f t="shared" ref="B963:B1026" si="15">"sa-"&amp;DAY(A963)&amp;"-"&amp;MONTH(A963)</f>
        <v>sa-27-9</v>
      </c>
      <c r="C963" t="s">
        <v>337</v>
      </c>
      <c r="D963" t="s">
        <v>7</v>
      </c>
      <c r="E963">
        <v>3</v>
      </c>
      <c r="F963" s="6">
        <f>VLOOKUP(D963,Products!A$2:C$101,3,FALSE)*E963</f>
        <v>222</v>
      </c>
      <c r="G963" t="s">
        <v>408</v>
      </c>
    </row>
    <row r="964" spans="1:7" x14ac:dyDescent="0.25">
      <c r="A964" s="3">
        <v>44458</v>
      </c>
      <c r="B964" s="2" t="str">
        <f t="shared" si="15"/>
        <v>sa-19-9</v>
      </c>
      <c r="C964" t="s">
        <v>337</v>
      </c>
      <c r="D964" t="s">
        <v>23</v>
      </c>
      <c r="E964">
        <v>3</v>
      </c>
      <c r="F964" s="6">
        <f>VLOOKUP(D964,Products!A$2:C$101,3,FALSE)*E964</f>
        <v>93</v>
      </c>
      <c r="G964" t="s">
        <v>400</v>
      </c>
    </row>
    <row r="965" spans="1:7" x14ac:dyDescent="0.25">
      <c r="A965" s="3">
        <v>44585</v>
      </c>
      <c r="B965" s="2" t="str">
        <f t="shared" si="15"/>
        <v>sa-24-1</v>
      </c>
      <c r="C965" t="s">
        <v>335</v>
      </c>
      <c r="D965" t="s">
        <v>15</v>
      </c>
      <c r="E965">
        <v>5</v>
      </c>
      <c r="F965" s="6">
        <f>VLOOKUP(D965,Products!A$2:C$101,3,FALSE)*E965</f>
        <v>175</v>
      </c>
      <c r="G965" t="s">
        <v>404</v>
      </c>
    </row>
    <row r="966" spans="1:7" x14ac:dyDescent="0.25">
      <c r="A966" s="3">
        <v>44257</v>
      </c>
      <c r="B966" s="2" t="str">
        <f t="shared" si="15"/>
        <v>sa-2-3</v>
      </c>
      <c r="C966" t="s">
        <v>335</v>
      </c>
      <c r="D966" t="s">
        <v>35</v>
      </c>
      <c r="E966">
        <v>6</v>
      </c>
      <c r="F966" s="6">
        <f>VLOOKUP(D966,Products!A$2:C$101,3,FALSE)*E966</f>
        <v>180</v>
      </c>
      <c r="G966" t="s">
        <v>405</v>
      </c>
    </row>
    <row r="967" spans="1:7" x14ac:dyDescent="0.25">
      <c r="A967" s="3">
        <v>44427</v>
      </c>
      <c r="B967" s="2" t="str">
        <f t="shared" si="15"/>
        <v>sa-19-8</v>
      </c>
      <c r="C967" t="s">
        <v>355</v>
      </c>
      <c r="D967" t="s">
        <v>14</v>
      </c>
      <c r="E967">
        <v>6</v>
      </c>
      <c r="F967" s="6">
        <f>VLOOKUP(D967,Products!A$2:C$101,3,FALSE)*E967</f>
        <v>474</v>
      </c>
      <c r="G967" t="s">
        <v>407</v>
      </c>
    </row>
    <row r="968" spans="1:7" x14ac:dyDescent="0.25">
      <c r="A968" s="3">
        <v>44649</v>
      </c>
      <c r="B968" s="2" t="str">
        <f t="shared" si="15"/>
        <v>sa-29-3</v>
      </c>
      <c r="C968" t="s">
        <v>355</v>
      </c>
      <c r="D968" t="s">
        <v>67</v>
      </c>
      <c r="E968">
        <v>4</v>
      </c>
      <c r="F968" s="6">
        <f>VLOOKUP(D968,Products!A$2:C$101,3,FALSE)*E968</f>
        <v>128</v>
      </c>
      <c r="G968" t="s">
        <v>402</v>
      </c>
    </row>
    <row r="969" spans="1:7" x14ac:dyDescent="0.25">
      <c r="A969" s="3">
        <v>44717</v>
      </c>
      <c r="B969" s="2" t="str">
        <f t="shared" si="15"/>
        <v>sa-5-6</v>
      </c>
      <c r="C969" t="s">
        <v>338</v>
      </c>
      <c r="D969" t="s">
        <v>12</v>
      </c>
      <c r="E969">
        <v>3</v>
      </c>
      <c r="F969" s="6">
        <f>VLOOKUP(D969,Products!A$2:C$101,3,FALSE)*E969</f>
        <v>222</v>
      </c>
      <c r="G969" t="s">
        <v>404</v>
      </c>
    </row>
    <row r="970" spans="1:7" x14ac:dyDescent="0.25">
      <c r="A970" s="3">
        <v>44692</v>
      </c>
      <c r="B970" s="2" t="str">
        <f t="shared" si="15"/>
        <v>sa-11-5</v>
      </c>
      <c r="C970" t="s">
        <v>345</v>
      </c>
      <c r="D970" t="s">
        <v>85</v>
      </c>
      <c r="E970">
        <v>2</v>
      </c>
      <c r="F970" s="6">
        <f>VLOOKUP(D970,Products!A$2:C$101,3,FALSE)*E970</f>
        <v>66</v>
      </c>
      <c r="G970" t="s">
        <v>401</v>
      </c>
    </row>
    <row r="971" spans="1:7" x14ac:dyDescent="0.25">
      <c r="A971" s="3">
        <v>44047</v>
      </c>
      <c r="B971" s="2" t="str">
        <f t="shared" si="15"/>
        <v>sa-4-8</v>
      </c>
      <c r="C971" t="s">
        <v>319</v>
      </c>
      <c r="D971" t="s">
        <v>7</v>
      </c>
      <c r="E971">
        <v>4</v>
      </c>
      <c r="F971" s="6">
        <f>VLOOKUP(D971,Products!A$2:C$101,3,FALSE)*E971</f>
        <v>296</v>
      </c>
      <c r="G971" t="s">
        <v>407</v>
      </c>
    </row>
    <row r="972" spans="1:7" x14ac:dyDescent="0.25">
      <c r="A972" s="3">
        <v>44488</v>
      </c>
      <c r="B972" s="2" t="str">
        <f t="shared" si="15"/>
        <v>sa-19-10</v>
      </c>
      <c r="C972" t="s">
        <v>309</v>
      </c>
      <c r="D972" t="s">
        <v>26</v>
      </c>
      <c r="E972">
        <v>6</v>
      </c>
      <c r="F972" s="6">
        <f>VLOOKUP(D972,Products!A$2:C$101,3,FALSE)*E972</f>
        <v>198</v>
      </c>
      <c r="G972" t="s">
        <v>396</v>
      </c>
    </row>
    <row r="973" spans="1:7" x14ac:dyDescent="0.25">
      <c r="A973" s="3">
        <v>44349</v>
      </c>
      <c r="B973" s="2" t="str">
        <f t="shared" si="15"/>
        <v>sa-2-6</v>
      </c>
      <c r="C973" t="s">
        <v>319</v>
      </c>
      <c r="D973" t="s">
        <v>57</v>
      </c>
      <c r="E973">
        <v>2</v>
      </c>
      <c r="F973" s="6">
        <f>VLOOKUP(D973,Products!A$2:C$101,3,FALSE)*E973</f>
        <v>70</v>
      </c>
      <c r="G973" t="s">
        <v>395</v>
      </c>
    </row>
    <row r="974" spans="1:7" x14ac:dyDescent="0.25">
      <c r="A974" s="3">
        <v>44048</v>
      </c>
      <c r="B974" s="2" t="str">
        <f t="shared" si="15"/>
        <v>sa-5-8</v>
      </c>
      <c r="C974" t="s">
        <v>315</v>
      </c>
      <c r="D974" t="s">
        <v>2</v>
      </c>
      <c r="E974">
        <v>3</v>
      </c>
      <c r="F974" s="6">
        <f>VLOOKUP(D974,Products!A$2:C$101,3,FALSE)*E974</f>
        <v>198</v>
      </c>
      <c r="G974" t="s">
        <v>397</v>
      </c>
    </row>
    <row r="975" spans="1:7" x14ac:dyDescent="0.25">
      <c r="A975" s="3">
        <v>44729</v>
      </c>
      <c r="B975" s="2" t="str">
        <f t="shared" si="15"/>
        <v>sa-17-6</v>
      </c>
      <c r="C975" t="s">
        <v>318</v>
      </c>
      <c r="D975" t="s">
        <v>43</v>
      </c>
      <c r="E975">
        <v>6</v>
      </c>
      <c r="F975" s="6">
        <f>VLOOKUP(D975,Products!A$2:C$101,3,FALSE)*E975</f>
        <v>198</v>
      </c>
      <c r="G975" t="s">
        <v>405</v>
      </c>
    </row>
    <row r="976" spans="1:7" x14ac:dyDescent="0.25">
      <c r="A976" s="3">
        <v>44629</v>
      </c>
      <c r="B976" s="2" t="str">
        <f t="shared" si="15"/>
        <v>sa-9-3</v>
      </c>
      <c r="C976" t="s">
        <v>314</v>
      </c>
      <c r="D976" t="s">
        <v>30</v>
      </c>
      <c r="E976">
        <v>6</v>
      </c>
      <c r="F976" s="6">
        <f>VLOOKUP(D976,Products!A$2:C$101,3,FALSE)*E976</f>
        <v>210</v>
      </c>
      <c r="G976" t="s">
        <v>398</v>
      </c>
    </row>
    <row r="977" spans="1:7" x14ac:dyDescent="0.25">
      <c r="A977" s="3">
        <v>43936</v>
      </c>
      <c r="B977" s="2" t="str">
        <f t="shared" si="15"/>
        <v>sa-15-4</v>
      </c>
      <c r="C977" t="s">
        <v>307</v>
      </c>
      <c r="D977" t="s">
        <v>69</v>
      </c>
      <c r="E977">
        <v>4</v>
      </c>
      <c r="F977" s="6">
        <f>VLOOKUP(D977,Products!A$2:C$101,3,FALSE)*E977</f>
        <v>120</v>
      </c>
      <c r="G977" t="s">
        <v>400</v>
      </c>
    </row>
    <row r="978" spans="1:7" x14ac:dyDescent="0.25">
      <c r="A978" s="3">
        <v>44091</v>
      </c>
      <c r="B978" s="2" t="str">
        <f t="shared" si="15"/>
        <v>sa-17-9</v>
      </c>
      <c r="C978" t="s">
        <v>316</v>
      </c>
      <c r="D978" t="s">
        <v>23</v>
      </c>
      <c r="E978">
        <v>4</v>
      </c>
      <c r="F978" s="6">
        <f>VLOOKUP(D978,Products!A$2:C$101,3,FALSE)*E978</f>
        <v>124</v>
      </c>
      <c r="G978" t="s">
        <v>399</v>
      </c>
    </row>
    <row r="979" spans="1:7" x14ac:dyDescent="0.25">
      <c r="A979" s="3">
        <v>44225</v>
      </c>
      <c r="B979" s="2" t="str">
        <f t="shared" si="15"/>
        <v>sa-29-1</v>
      </c>
      <c r="C979" t="s">
        <v>354</v>
      </c>
      <c r="D979" t="s">
        <v>101</v>
      </c>
      <c r="E979">
        <v>2</v>
      </c>
      <c r="F979" s="6">
        <f>VLOOKUP(D979,Products!A$2:C$101,3,FALSE)*E979</f>
        <v>20</v>
      </c>
      <c r="G979" t="s">
        <v>400</v>
      </c>
    </row>
    <row r="980" spans="1:7" x14ac:dyDescent="0.25">
      <c r="A980" s="3">
        <v>44392</v>
      </c>
      <c r="B980" s="2" t="str">
        <f t="shared" si="15"/>
        <v>sa-15-7</v>
      </c>
      <c r="C980" t="s">
        <v>345</v>
      </c>
      <c r="D980" t="s">
        <v>64</v>
      </c>
      <c r="E980">
        <v>4</v>
      </c>
      <c r="F980" s="6">
        <f>VLOOKUP(D980,Products!A$2:C$101,3,FALSE)*E980</f>
        <v>140</v>
      </c>
      <c r="G980" t="s">
        <v>398</v>
      </c>
    </row>
    <row r="981" spans="1:7" x14ac:dyDescent="0.25">
      <c r="A981" s="3">
        <v>44520</v>
      </c>
      <c r="B981" s="2" t="str">
        <f t="shared" si="15"/>
        <v>sa-20-11</v>
      </c>
      <c r="C981" t="s">
        <v>346</v>
      </c>
      <c r="D981" t="s">
        <v>73</v>
      </c>
      <c r="E981">
        <v>4</v>
      </c>
      <c r="F981" s="6">
        <f>VLOOKUP(D981,Products!A$2:C$101,3,FALSE)*E981</f>
        <v>140</v>
      </c>
      <c r="G981" t="s">
        <v>404</v>
      </c>
    </row>
    <row r="982" spans="1:7" x14ac:dyDescent="0.25">
      <c r="A982" s="3">
        <v>44410</v>
      </c>
      <c r="B982" s="2" t="str">
        <f t="shared" si="15"/>
        <v>sa-2-8</v>
      </c>
      <c r="C982" t="s">
        <v>343</v>
      </c>
      <c r="D982" t="s">
        <v>45</v>
      </c>
      <c r="E982">
        <v>3</v>
      </c>
      <c r="F982" s="6">
        <f>VLOOKUP(D982,Products!A$2:C$101,3,FALSE)*E982</f>
        <v>90</v>
      </c>
      <c r="G982" t="s">
        <v>399</v>
      </c>
    </row>
    <row r="983" spans="1:7" x14ac:dyDescent="0.25">
      <c r="A983" s="3">
        <v>44447</v>
      </c>
      <c r="B983" s="2" t="str">
        <f t="shared" si="15"/>
        <v>sa-8-9</v>
      </c>
      <c r="C983" t="s">
        <v>337</v>
      </c>
      <c r="D983" t="s">
        <v>65</v>
      </c>
      <c r="E983">
        <v>4</v>
      </c>
      <c r="F983" s="6">
        <f>VLOOKUP(D983,Products!A$2:C$101,3,FALSE)*E983</f>
        <v>128</v>
      </c>
      <c r="G983" t="s">
        <v>398</v>
      </c>
    </row>
    <row r="984" spans="1:7" x14ac:dyDescent="0.25">
      <c r="A984" s="3">
        <v>44646</v>
      </c>
      <c r="B984" s="2" t="str">
        <f t="shared" si="15"/>
        <v>sa-26-3</v>
      </c>
      <c r="C984" t="s">
        <v>308</v>
      </c>
      <c r="D984" t="s">
        <v>49</v>
      </c>
      <c r="E984">
        <v>5</v>
      </c>
      <c r="F984" s="6">
        <f>VLOOKUP(D984,Products!A$2:C$101,3,FALSE)*E984</f>
        <v>165</v>
      </c>
      <c r="G984" t="s">
        <v>406</v>
      </c>
    </row>
    <row r="985" spans="1:7" x14ac:dyDescent="0.25">
      <c r="A985" s="3">
        <v>44037</v>
      </c>
      <c r="B985" s="2" t="str">
        <f t="shared" si="15"/>
        <v>sa-25-7</v>
      </c>
      <c r="C985" t="s">
        <v>348</v>
      </c>
      <c r="D985" t="s">
        <v>45</v>
      </c>
      <c r="E985">
        <v>6</v>
      </c>
      <c r="F985" s="6">
        <f>VLOOKUP(D985,Products!A$2:C$101,3,FALSE)*E985</f>
        <v>180</v>
      </c>
      <c r="G985" t="s">
        <v>407</v>
      </c>
    </row>
    <row r="986" spans="1:7" x14ac:dyDescent="0.25">
      <c r="A986" s="3">
        <v>43911</v>
      </c>
      <c r="B986" s="2" t="str">
        <f t="shared" si="15"/>
        <v>sa-21-3</v>
      </c>
      <c r="C986" t="s">
        <v>340</v>
      </c>
      <c r="D986" t="s">
        <v>75</v>
      </c>
      <c r="E986">
        <v>3</v>
      </c>
      <c r="F986" s="6">
        <f>VLOOKUP(D986,Products!A$2:C$101,3,FALSE)*E986</f>
        <v>102</v>
      </c>
      <c r="G986" t="s">
        <v>408</v>
      </c>
    </row>
    <row r="987" spans="1:7" x14ac:dyDescent="0.25">
      <c r="A987" s="3">
        <v>44248</v>
      </c>
      <c r="B987" s="2" t="str">
        <f t="shared" si="15"/>
        <v>sa-21-2</v>
      </c>
      <c r="C987" t="s">
        <v>351</v>
      </c>
      <c r="D987" t="s">
        <v>58</v>
      </c>
      <c r="E987">
        <v>6</v>
      </c>
      <c r="F987" s="6">
        <f>VLOOKUP(D987,Products!A$2:C$101,3,FALSE)*E987</f>
        <v>210</v>
      </c>
      <c r="G987" t="s">
        <v>398</v>
      </c>
    </row>
    <row r="988" spans="1:7" x14ac:dyDescent="0.25">
      <c r="A988" s="3">
        <v>44223</v>
      </c>
      <c r="B988" s="2" t="str">
        <f t="shared" si="15"/>
        <v>sa-27-1</v>
      </c>
      <c r="C988" t="s">
        <v>314</v>
      </c>
      <c r="D988" t="s">
        <v>85</v>
      </c>
      <c r="E988">
        <v>3</v>
      </c>
      <c r="F988" s="6">
        <f>VLOOKUP(D988,Products!A$2:C$101,3,FALSE)*E988</f>
        <v>99</v>
      </c>
      <c r="G988" t="s">
        <v>397</v>
      </c>
    </row>
    <row r="989" spans="1:7" x14ac:dyDescent="0.25">
      <c r="A989" s="3">
        <v>43872</v>
      </c>
      <c r="B989" s="2" t="str">
        <f t="shared" si="15"/>
        <v>sa-11-2</v>
      </c>
      <c r="C989" t="s">
        <v>353</v>
      </c>
      <c r="D989" t="s">
        <v>34</v>
      </c>
      <c r="E989">
        <v>2</v>
      </c>
      <c r="F989" s="6">
        <f>VLOOKUP(D989,Products!A$2:C$101,3,FALSE)*E989</f>
        <v>70</v>
      </c>
      <c r="G989" t="s">
        <v>404</v>
      </c>
    </row>
    <row r="990" spans="1:7" x14ac:dyDescent="0.25">
      <c r="A990" s="3">
        <v>44020</v>
      </c>
      <c r="B990" s="2" t="str">
        <f t="shared" si="15"/>
        <v>sa-8-7</v>
      </c>
      <c r="C990" t="s">
        <v>342</v>
      </c>
      <c r="D990" t="s">
        <v>38</v>
      </c>
      <c r="E990">
        <v>3</v>
      </c>
      <c r="F990" s="6">
        <f>VLOOKUP(D990,Products!A$2:C$101,3,FALSE)*E990</f>
        <v>96</v>
      </c>
      <c r="G990" t="s">
        <v>402</v>
      </c>
    </row>
    <row r="991" spans="1:7" x14ac:dyDescent="0.25">
      <c r="A991" s="3">
        <v>44083</v>
      </c>
      <c r="B991" s="2" t="str">
        <f t="shared" si="15"/>
        <v>sa-9-9</v>
      </c>
      <c r="C991" t="s">
        <v>343</v>
      </c>
      <c r="D991" t="s">
        <v>72</v>
      </c>
      <c r="E991">
        <v>6</v>
      </c>
      <c r="F991" s="6">
        <f>VLOOKUP(D991,Products!A$2:C$101,3,FALSE)*E991</f>
        <v>186</v>
      </c>
      <c r="G991" t="s">
        <v>402</v>
      </c>
    </row>
    <row r="992" spans="1:7" x14ac:dyDescent="0.25">
      <c r="A992" s="3">
        <v>44058</v>
      </c>
      <c r="B992" s="2" t="str">
        <f t="shared" si="15"/>
        <v>sa-15-8</v>
      </c>
      <c r="C992" t="s">
        <v>318</v>
      </c>
      <c r="D992" t="s">
        <v>23</v>
      </c>
      <c r="E992">
        <v>4</v>
      </c>
      <c r="F992" s="6">
        <f>VLOOKUP(D992,Products!A$2:C$101,3,FALSE)*E992</f>
        <v>124</v>
      </c>
      <c r="G992" t="s">
        <v>404</v>
      </c>
    </row>
    <row r="993" spans="1:7" x14ac:dyDescent="0.25">
      <c r="A993" s="3">
        <v>44562</v>
      </c>
      <c r="B993" s="2" t="str">
        <f t="shared" si="15"/>
        <v>sa-1-1</v>
      </c>
      <c r="C993" t="s">
        <v>341</v>
      </c>
      <c r="D993" t="s">
        <v>3</v>
      </c>
      <c r="E993">
        <v>6</v>
      </c>
      <c r="F993" s="6">
        <f>VLOOKUP(D993,Products!A$2:C$101,3,FALSE)*E993</f>
        <v>444</v>
      </c>
      <c r="G993" t="s">
        <v>397</v>
      </c>
    </row>
    <row r="994" spans="1:7" x14ac:dyDescent="0.25">
      <c r="A994" s="3">
        <v>44407</v>
      </c>
      <c r="B994" s="2" t="str">
        <f t="shared" si="15"/>
        <v>sa-30-7</v>
      </c>
      <c r="C994" t="s">
        <v>326</v>
      </c>
      <c r="D994" t="s">
        <v>17</v>
      </c>
      <c r="E994">
        <v>6</v>
      </c>
      <c r="F994" s="6">
        <f>VLOOKUP(D994,Products!A$2:C$101,3,FALSE)*E994</f>
        <v>192</v>
      </c>
      <c r="G994" t="s">
        <v>402</v>
      </c>
    </row>
    <row r="995" spans="1:7" x14ac:dyDescent="0.25">
      <c r="A995" s="3">
        <v>43938</v>
      </c>
      <c r="B995" s="2" t="str">
        <f t="shared" si="15"/>
        <v>sa-17-4</v>
      </c>
      <c r="C995" t="s">
        <v>344</v>
      </c>
      <c r="D995" t="s">
        <v>33</v>
      </c>
      <c r="E995">
        <v>2</v>
      </c>
      <c r="F995" s="6">
        <f>VLOOKUP(D995,Products!A$2:C$101,3,FALSE)*E995</f>
        <v>66</v>
      </c>
      <c r="G995" t="s">
        <v>399</v>
      </c>
    </row>
    <row r="996" spans="1:7" x14ac:dyDescent="0.25">
      <c r="A996" s="3">
        <v>44024</v>
      </c>
      <c r="B996" s="2" t="str">
        <f t="shared" si="15"/>
        <v>sa-12-7</v>
      </c>
      <c r="C996" t="s">
        <v>308</v>
      </c>
      <c r="D996" t="s">
        <v>65</v>
      </c>
      <c r="E996">
        <v>4</v>
      </c>
      <c r="F996" s="6">
        <f>VLOOKUP(D996,Products!A$2:C$101,3,FALSE)*E996</f>
        <v>128</v>
      </c>
      <c r="G996" t="s">
        <v>402</v>
      </c>
    </row>
    <row r="997" spans="1:7" x14ac:dyDescent="0.25">
      <c r="A997" s="3">
        <v>44195</v>
      </c>
      <c r="B997" s="2" t="str">
        <f t="shared" si="15"/>
        <v>sa-30-12</v>
      </c>
      <c r="C997" t="s">
        <v>344</v>
      </c>
      <c r="D997" t="s">
        <v>31</v>
      </c>
      <c r="E997">
        <v>4</v>
      </c>
      <c r="F997" s="6">
        <f>VLOOKUP(D997,Products!A$2:C$101,3,FALSE)*E997</f>
        <v>128</v>
      </c>
      <c r="G997" t="s">
        <v>398</v>
      </c>
    </row>
    <row r="998" spans="1:7" x14ac:dyDescent="0.25">
      <c r="A998" s="3">
        <v>44171</v>
      </c>
      <c r="B998" s="2" t="str">
        <f t="shared" si="15"/>
        <v>sa-6-12</v>
      </c>
      <c r="C998" t="s">
        <v>345</v>
      </c>
      <c r="D998" t="s">
        <v>21</v>
      </c>
      <c r="E998">
        <v>3</v>
      </c>
      <c r="F998" s="6">
        <f>VLOOKUP(D998,Products!A$2:C$101,3,FALSE)*E998</f>
        <v>99</v>
      </c>
      <c r="G998" t="s">
        <v>403</v>
      </c>
    </row>
    <row r="999" spans="1:7" x14ac:dyDescent="0.25">
      <c r="A999" s="3">
        <v>44392</v>
      </c>
      <c r="B999" s="2" t="str">
        <f t="shared" si="15"/>
        <v>sa-15-7</v>
      </c>
      <c r="C999" t="s">
        <v>312</v>
      </c>
      <c r="D999" t="s">
        <v>94</v>
      </c>
      <c r="E999">
        <v>3</v>
      </c>
      <c r="F999" s="6">
        <f>VLOOKUP(D999,Products!A$2:C$101,3,FALSE)*E999</f>
        <v>57</v>
      </c>
      <c r="G999" t="s">
        <v>395</v>
      </c>
    </row>
    <row r="1000" spans="1:7" x14ac:dyDescent="0.25">
      <c r="A1000" s="3">
        <v>44571</v>
      </c>
      <c r="B1000" s="2" t="str">
        <f t="shared" si="15"/>
        <v>sa-10-1</v>
      </c>
      <c r="C1000" t="s">
        <v>355</v>
      </c>
      <c r="D1000" t="s">
        <v>86</v>
      </c>
      <c r="E1000">
        <v>3</v>
      </c>
      <c r="F1000" s="6">
        <f>VLOOKUP(D1000,Products!A$2:C$101,3,FALSE)*E1000</f>
        <v>102</v>
      </c>
      <c r="G1000" t="s">
        <v>406</v>
      </c>
    </row>
    <row r="1001" spans="1:7" x14ac:dyDescent="0.25">
      <c r="A1001" s="3">
        <v>44693</v>
      </c>
      <c r="B1001" s="2" t="str">
        <f t="shared" si="15"/>
        <v>sa-12-5</v>
      </c>
      <c r="C1001" t="s">
        <v>330</v>
      </c>
      <c r="D1001" t="s">
        <v>49</v>
      </c>
      <c r="E1001">
        <v>2</v>
      </c>
      <c r="F1001" s="6">
        <f>VLOOKUP(D1001,Products!A$2:C$101,3,FALSE)*E1001</f>
        <v>66</v>
      </c>
      <c r="G1001" t="s">
        <v>404</v>
      </c>
    </row>
    <row r="1002" spans="1:7" x14ac:dyDescent="0.25">
      <c r="A1002" s="3">
        <v>44735</v>
      </c>
      <c r="B1002" s="2" t="str">
        <f t="shared" si="15"/>
        <v>sa-23-6</v>
      </c>
      <c r="C1002" t="s">
        <v>331</v>
      </c>
      <c r="D1002" t="s">
        <v>62</v>
      </c>
      <c r="E1002">
        <v>3</v>
      </c>
      <c r="F1002" s="6">
        <f>VLOOKUP(D1002,Products!A$2:C$101,3,FALSE)*E1002</f>
        <v>96</v>
      </c>
      <c r="G1002" t="s">
        <v>403</v>
      </c>
    </row>
    <row r="1003" spans="1:7" x14ac:dyDescent="0.25">
      <c r="A1003" s="3">
        <v>43875</v>
      </c>
      <c r="B1003" s="2" t="str">
        <f t="shared" si="15"/>
        <v>sa-14-2</v>
      </c>
      <c r="C1003" t="s">
        <v>312</v>
      </c>
      <c r="D1003" t="s">
        <v>8</v>
      </c>
      <c r="E1003">
        <v>2</v>
      </c>
      <c r="F1003" s="6">
        <f>VLOOKUP(D1003,Products!A$2:C$101,3,FALSE)*E1003</f>
        <v>126</v>
      </c>
      <c r="G1003" t="s">
        <v>397</v>
      </c>
    </row>
    <row r="1004" spans="1:7" x14ac:dyDescent="0.25">
      <c r="A1004" s="3">
        <v>44306</v>
      </c>
      <c r="B1004" s="2" t="str">
        <f t="shared" si="15"/>
        <v>sa-20-4</v>
      </c>
      <c r="C1004" t="s">
        <v>310</v>
      </c>
      <c r="D1004" t="s">
        <v>77</v>
      </c>
      <c r="E1004">
        <v>5</v>
      </c>
      <c r="F1004" s="6">
        <f>VLOOKUP(D1004,Products!A$2:C$101,3,FALSE)*E1004</f>
        <v>170</v>
      </c>
      <c r="G1004" t="s">
        <v>399</v>
      </c>
    </row>
    <row r="1005" spans="1:7" x14ac:dyDescent="0.25">
      <c r="A1005" s="3">
        <v>44377</v>
      </c>
      <c r="B1005" s="2" t="str">
        <f t="shared" si="15"/>
        <v>sa-30-6</v>
      </c>
      <c r="C1005" t="s">
        <v>330</v>
      </c>
      <c r="D1005" t="s">
        <v>85</v>
      </c>
      <c r="E1005">
        <v>4</v>
      </c>
      <c r="F1005" s="6">
        <f>VLOOKUP(D1005,Products!A$2:C$101,3,FALSE)*E1005</f>
        <v>132</v>
      </c>
      <c r="G1005" t="s">
        <v>404</v>
      </c>
    </row>
    <row r="1006" spans="1:7" x14ac:dyDescent="0.25">
      <c r="A1006" s="3">
        <v>43969</v>
      </c>
      <c r="B1006" s="2" t="str">
        <f t="shared" si="15"/>
        <v>sa-18-5</v>
      </c>
      <c r="C1006" t="s">
        <v>347</v>
      </c>
      <c r="D1006" t="s">
        <v>88</v>
      </c>
      <c r="E1006">
        <v>6</v>
      </c>
      <c r="F1006" s="6">
        <f>VLOOKUP(D1006,Products!A$2:C$101,3,FALSE)*E1006</f>
        <v>102</v>
      </c>
      <c r="G1006" t="s">
        <v>406</v>
      </c>
    </row>
    <row r="1007" spans="1:7" x14ac:dyDescent="0.25">
      <c r="A1007" s="3">
        <v>44083</v>
      </c>
      <c r="B1007" s="2" t="str">
        <f t="shared" si="15"/>
        <v>sa-9-9</v>
      </c>
      <c r="C1007" t="s">
        <v>345</v>
      </c>
      <c r="D1007" t="s">
        <v>25</v>
      </c>
      <c r="E1007">
        <v>5</v>
      </c>
      <c r="F1007" s="6">
        <f>VLOOKUP(D1007,Products!A$2:C$101,3,FALSE)*E1007</f>
        <v>165</v>
      </c>
      <c r="G1007" t="s">
        <v>405</v>
      </c>
    </row>
    <row r="1008" spans="1:7" x14ac:dyDescent="0.25">
      <c r="A1008" s="3">
        <v>43874</v>
      </c>
      <c r="B1008" s="2" t="str">
        <f t="shared" si="15"/>
        <v>sa-13-2</v>
      </c>
      <c r="C1008" t="s">
        <v>308</v>
      </c>
      <c r="D1008" t="s">
        <v>84</v>
      </c>
      <c r="E1008">
        <v>5</v>
      </c>
      <c r="F1008" s="6">
        <f>VLOOKUP(D1008,Products!A$2:C$101,3,FALSE)*E1008</f>
        <v>175</v>
      </c>
      <c r="G1008" t="s">
        <v>395</v>
      </c>
    </row>
    <row r="1009" spans="1:7" x14ac:dyDescent="0.25">
      <c r="A1009" s="3">
        <v>44226</v>
      </c>
      <c r="B1009" s="2" t="str">
        <f t="shared" si="15"/>
        <v>sa-30-1</v>
      </c>
      <c r="C1009" t="s">
        <v>308</v>
      </c>
      <c r="D1009" t="s">
        <v>73</v>
      </c>
      <c r="E1009">
        <v>3</v>
      </c>
      <c r="F1009" s="6">
        <f>VLOOKUP(D1009,Products!A$2:C$101,3,FALSE)*E1009</f>
        <v>105</v>
      </c>
      <c r="G1009" t="s">
        <v>408</v>
      </c>
    </row>
    <row r="1010" spans="1:7" x14ac:dyDescent="0.25">
      <c r="A1010" s="3">
        <v>44111</v>
      </c>
      <c r="B1010" s="2" t="str">
        <f t="shared" si="15"/>
        <v>sa-7-10</v>
      </c>
      <c r="C1010" t="s">
        <v>336</v>
      </c>
      <c r="D1010" t="s">
        <v>39</v>
      </c>
      <c r="E1010">
        <v>2</v>
      </c>
      <c r="F1010" s="6">
        <f>VLOOKUP(D1010,Products!A$2:C$101,3,FALSE)*E1010</f>
        <v>64</v>
      </c>
      <c r="G1010" t="s">
        <v>404</v>
      </c>
    </row>
    <row r="1011" spans="1:7" x14ac:dyDescent="0.25">
      <c r="A1011" s="3">
        <v>44663</v>
      </c>
      <c r="B1011" s="2" t="str">
        <f t="shared" si="15"/>
        <v>sa-12-4</v>
      </c>
      <c r="C1011" t="s">
        <v>347</v>
      </c>
      <c r="D1011" t="s">
        <v>76</v>
      </c>
      <c r="E1011">
        <v>2</v>
      </c>
      <c r="F1011" s="6">
        <f>VLOOKUP(D1011,Products!A$2:C$101,3,FALSE)*E1011</f>
        <v>68</v>
      </c>
      <c r="G1011" t="s">
        <v>406</v>
      </c>
    </row>
    <row r="1012" spans="1:7" x14ac:dyDescent="0.25">
      <c r="A1012" s="3">
        <v>44618</v>
      </c>
      <c r="B1012" s="2" t="str">
        <f t="shared" si="15"/>
        <v>sa-26-2</v>
      </c>
      <c r="C1012" t="s">
        <v>342</v>
      </c>
      <c r="D1012" t="s">
        <v>49</v>
      </c>
      <c r="E1012">
        <v>2</v>
      </c>
      <c r="F1012" s="6">
        <f>VLOOKUP(D1012,Products!A$2:C$101,3,FALSE)*E1012</f>
        <v>66</v>
      </c>
      <c r="G1012" t="s">
        <v>403</v>
      </c>
    </row>
    <row r="1013" spans="1:7" x14ac:dyDescent="0.25">
      <c r="A1013" s="3">
        <v>44331</v>
      </c>
      <c r="B1013" s="2" t="str">
        <f t="shared" si="15"/>
        <v>sa-15-5</v>
      </c>
      <c r="C1013" t="s">
        <v>331</v>
      </c>
      <c r="D1013" t="s">
        <v>67</v>
      </c>
      <c r="E1013">
        <v>3</v>
      </c>
      <c r="F1013" s="6">
        <f>VLOOKUP(D1013,Products!A$2:C$101,3,FALSE)*E1013</f>
        <v>96</v>
      </c>
      <c r="G1013" t="s">
        <v>408</v>
      </c>
    </row>
    <row r="1014" spans="1:7" x14ac:dyDescent="0.25">
      <c r="A1014" s="3">
        <v>43921</v>
      </c>
      <c r="B1014" s="2" t="str">
        <f t="shared" si="15"/>
        <v>sa-31-3</v>
      </c>
      <c r="C1014" t="s">
        <v>315</v>
      </c>
      <c r="D1014" t="s">
        <v>57</v>
      </c>
      <c r="E1014">
        <v>4</v>
      </c>
      <c r="F1014" s="6">
        <f>VLOOKUP(D1014,Products!A$2:C$101,3,FALSE)*E1014</f>
        <v>140</v>
      </c>
      <c r="G1014" t="s">
        <v>405</v>
      </c>
    </row>
    <row r="1015" spans="1:7" x14ac:dyDescent="0.25">
      <c r="A1015" s="3">
        <v>43949</v>
      </c>
      <c r="B1015" s="2" t="str">
        <f t="shared" si="15"/>
        <v>sa-28-4</v>
      </c>
      <c r="C1015" t="s">
        <v>329</v>
      </c>
      <c r="D1015" t="s">
        <v>62</v>
      </c>
      <c r="E1015">
        <v>6</v>
      </c>
      <c r="F1015" s="6">
        <f>VLOOKUP(D1015,Products!A$2:C$101,3,FALSE)*E1015</f>
        <v>192</v>
      </c>
      <c r="G1015" t="s">
        <v>404</v>
      </c>
    </row>
    <row r="1016" spans="1:7" x14ac:dyDescent="0.25">
      <c r="A1016" s="3">
        <v>44201</v>
      </c>
      <c r="B1016" s="2" t="str">
        <f t="shared" si="15"/>
        <v>sa-5-1</v>
      </c>
      <c r="C1016" t="s">
        <v>355</v>
      </c>
      <c r="D1016" t="s">
        <v>74</v>
      </c>
      <c r="E1016">
        <v>2</v>
      </c>
      <c r="F1016" s="6">
        <f>VLOOKUP(D1016,Products!A$2:C$101,3,FALSE)*E1016</f>
        <v>68</v>
      </c>
      <c r="G1016" t="s">
        <v>403</v>
      </c>
    </row>
    <row r="1017" spans="1:7" x14ac:dyDescent="0.25">
      <c r="A1017" s="3">
        <v>44299</v>
      </c>
      <c r="B1017" s="2" t="str">
        <f t="shared" si="15"/>
        <v>sa-13-4</v>
      </c>
      <c r="C1017" t="s">
        <v>340</v>
      </c>
      <c r="D1017" t="s">
        <v>101</v>
      </c>
      <c r="E1017">
        <v>2</v>
      </c>
      <c r="F1017" s="6">
        <f>VLOOKUP(D1017,Products!A$2:C$101,3,FALSE)*E1017</f>
        <v>20</v>
      </c>
      <c r="G1017" t="s">
        <v>399</v>
      </c>
    </row>
    <row r="1018" spans="1:7" x14ac:dyDescent="0.25">
      <c r="A1018" s="3">
        <v>44632</v>
      </c>
      <c r="B1018" s="2" t="str">
        <f t="shared" si="15"/>
        <v>sa-12-3</v>
      </c>
      <c r="C1018" t="s">
        <v>328</v>
      </c>
      <c r="D1018" t="s">
        <v>26</v>
      </c>
      <c r="E1018">
        <v>5</v>
      </c>
      <c r="F1018" s="6">
        <f>VLOOKUP(D1018,Products!A$2:C$101,3,FALSE)*E1018</f>
        <v>165</v>
      </c>
      <c r="G1018" t="s">
        <v>408</v>
      </c>
    </row>
    <row r="1019" spans="1:7" x14ac:dyDescent="0.25">
      <c r="A1019" s="3">
        <v>44339</v>
      </c>
      <c r="B1019" s="2" t="str">
        <f t="shared" si="15"/>
        <v>sa-23-5</v>
      </c>
      <c r="C1019" t="s">
        <v>336</v>
      </c>
      <c r="D1019" t="s">
        <v>77</v>
      </c>
      <c r="E1019">
        <v>2</v>
      </c>
      <c r="F1019" s="6">
        <f>VLOOKUP(D1019,Products!A$2:C$101,3,FALSE)*E1019</f>
        <v>68</v>
      </c>
      <c r="G1019" t="s">
        <v>406</v>
      </c>
    </row>
    <row r="1020" spans="1:7" x14ac:dyDescent="0.25">
      <c r="A1020" s="3">
        <v>44200</v>
      </c>
      <c r="B1020" s="2" t="str">
        <f t="shared" si="15"/>
        <v>sa-4-1</v>
      </c>
      <c r="C1020" t="s">
        <v>323</v>
      </c>
      <c r="D1020" t="s">
        <v>8</v>
      </c>
      <c r="E1020">
        <v>6</v>
      </c>
      <c r="F1020" s="6">
        <f>VLOOKUP(D1020,Products!A$2:C$101,3,FALSE)*E1020</f>
        <v>378</v>
      </c>
      <c r="G1020" t="s">
        <v>395</v>
      </c>
    </row>
    <row r="1021" spans="1:7" x14ac:dyDescent="0.25">
      <c r="A1021" s="3">
        <v>44502</v>
      </c>
      <c r="B1021" s="2" t="str">
        <f t="shared" si="15"/>
        <v>sa-2-11</v>
      </c>
      <c r="C1021" t="s">
        <v>338</v>
      </c>
      <c r="D1021" t="s">
        <v>13</v>
      </c>
      <c r="E1021">
        <v>3</v>
      </c>
      <c r="F1021" s="6">
        <f>VLOOKUP(D1021,Products!A$2:C$101,3,FALSE)*E1021</f>
        <v>213</v>
      </c>
      <c r="G1021" t="s">
        <v>407</v>
      </c>
    </row>
    <row r="1022" spans="1:7" x14ac:dyDescent="0.25">
      <c r="A1022" s="3">
        <v>44456</v>
      </c>
      <c r="B1022" s="2" t="str">
        <f t="shared" si="15"/>
        <v>sa-17-9</v>
      </c>
      <c r="C1022" t="s">
        <v>333</v>
      </c>
      <c r="D1022" t="s">
        <v>4</v>
      </c>
      <c r="E1022">
        <v>2</v>
      </c>
      <c r="F1022" s="6">
        <f>VLOOKUP(D1022,Products!A$2:C$101,3,FALSE)*E1022</f>
        <v>142</v>
      </c>
      <c r="G1022" t="s">
        <v>400</v>
      </c>
    </row>
    <row r="1023" spans="1:7" x14ac:dyDescent="0.25">
      <c r="A1023" s="3">
        <v>44300</v>
      </c>
      <c r="B1023" s="2" t="str">
        <f t="shared" si="15"/>
        <v>sa-14-4</v>
      </c>
      <c r="C1023" t="s">
        <v>348</v>
      </c>
      <c r="D1023" t="s">
        <v>28</v>
      </c>
      <c r="E1023">
        <v>4</v>
      </c>
      <c r="F1023" s="6">
        <f>VLOOKUP(D1023,Products!A$2:C$101,3,FALSE)*E1023</f>
        <v>120</v>
      </c>
      <c r="G1023" t="s">
        <v>398</v>
      </c>
    </row>
    <row r="1024" spans="1:7" x14ac:dyDescent="0.25">
      <c r="A1024" s="3">
        <v>44739</v>
      </c>
      <c r="B1024" s="2" t="str">
        <f t="shared" si="15"/>
        <v>sa-27-6</v>
      </c>
      <c r="C1024" t="s">
        <v>331</v>
      </c>
      <c r="D1024" t="s">
        <v>46</v>
      </c>
      <c r="E1024">
        <v>5</v>
      </c>
      <c r="F1024" s="6">
        <f>VLOOKUP(D1024,Products!A$2:C$101,3,FALSE)*E1024</f>
        <v>150</v>
      </c>
      <c r="G1024" t="s">
        <v>401</v>
      </c>
    </row>
    <row r="1025" spans="1:7" x14ac:dyDescent="0.25">
      <c r="A1025" s="3">
        <v>44023</v>
      </c>
      <c r="B1025" s="2" t="str">
        <f t="shared" si="15"/>
        <v>sa-11-7</v>
      </c>
      <c r="C1025" t="s">
        <v>309</v>
      </c>
      <c r="D1025" t="s">
        <v>78</v>
      </c>
      <c r="E1025">
        <v>2</v>
      </c>
      <c r="F1025" s="6">
        <f>VLOOKUP(D1025,Products!A$2:C$101,3,FALSE)*E1025</f>
        <v>68</v>
      </c>
      <c r="G1025" t="s">
        <v>398</v>
      </c>
    </row>
    <row r="1026" spans="1:7" x14ac:dyDescent="0.25">
      <c r="A1026" s="3">
        <v>44726</v>
      </c>
      <c r="B1026" s="2" t="str">
        <f t="shared" si="15"/>
        <v>sa-14-6</v>
      </c>
      <c r="C1026" t="s">
        <v>308</v>
      </c>
      <c r="D1026" t="s">
        <v>41</v>
      </c>
      <c r="E1026">
        <v>3</v>
      </c>
      <c r="F1026" s="6">
        <f>VLOOKUP(D1026,Products!A$2:C$101,3,FALSE)*E1026</f>
        <v>99</v>
      </c>
      <c r="G1026" t="s">
        <v>405</v>
      </c>
    </row>
    <row r="1027" spans="1:7" x14ac:dyDescent="0.25">
      <c r="A1027" s="3">
        <v>44210</v>
      </c>
      <c r="B1027" s="2" t="str">
        <f t="shared" ref="B1027:B1090" si="16">"sa-"&amp;DAY(A1027)&amp;"-"&amp;MONTH(A1027)</f>
        <v>sa-14-1</v>
      </c>
      <c r="C1027" t="s">
        <v>339</v>
      </c>
      <c r="D1027" t="s">
        <v>67</v>
      </c>
      <c r="E1027">
        <v>4</v>
      </c>
      <c r="F1027" s="6">
        <f>VLOOKUP(D1027,Products!A$2:C$101,3,FALSE)*E1027</f>
        <v>128</v>
      </c>
      <c r="G1027" t="s">
        <v>407</v>
      </c>
    </row>
    <row r="1028" spans="1:7" x14ac:dyDescent="0.25">
      <c r="A1028" s="3">
        <v>44067</v>
      </c>
      <c r="B1028" s="2" t="str">
        <f t="shared" si="16"/>
        <v>sa-24-8</v>
      </c>
      <c r="C1028" t="s">
        <v>352</v>
      </c>
      <c r="D1028" t="s">
        <v>17</v>
      </c>
      <c r="E1028">
        <v>4</v>
      </c>
      <c r="F1028" s="6">
        <f>VLOOKUP(D1028,Products!A$2:C$101,3,FALSE)*E1028</f>
        <v>128</v>
      </c>
      <c r="G1028" t="s">
        <v>401</v>
      </c>
    </row>
    <row r="1029" spans="1:7" x14ac:dyDescent="0.25">
      <c r="A1029" s="3">
        <v>44096</v>
      </c>
      <c r="B1029" s="2" t="str">
        <f t="shared" si="16"/>
        <v>sa-22-9</v>
      </c>
      <c r="C1029" t="s">
        <v>336</v>
      </c>
      <c r="D1029" t="s">
        <v>26</v>
      </c>
      <c r="E1029">
        <v>5</v>
      </c>
      <c r="F1029" s="6">
        <f>VLOOKUP(D1029,Products!A$2:C$101,3,FALSE)*E1029</f>
        <v>165</v>
      </c>
      <c r="G1029" t="s">
        <v>404</v>
      </c>
    </row>
    <row r="1030" spans="1:7" x14ac:dyDescent="0.25">
      <c r="A1030" s="3">
        <v>44528</v>
      </c>
      <c r="B1030" s="2" t="str">
        <f t="shared" si="16"/>
        <v>sa-28-11</v>
      </c>
      <c r="C1030" t="s">
        <v>326</v>
      </c>
      <c r="D1030" t="s">
        <v>15</v>
      </c>
      <c r="E1030">
        <v>2</v>
      </c>
      <c r="F1030" s="6">
        <f>VLOOKUP(D1030,Products!A$2:C$101,3,FALSE)*E1030</f>
        <v>70</v>
      </c>
      <c r="G1030" t="s">
        <v>397</v>
      </c>
    </row>
    <row r="1031" spans="1:7" x14ac:dyDescent="0.25">
      <c r="A1031" s="3">
        <v>44413</v>
      </c>
      <c r="B1031" s="2" t="str">
        <f t="shared" si="16"/>
        <v>sa-5-8</v>
      </c>
      <c r="C1031" t="s">
        <v>326</v>
      </c>
      <c r="D1031" t="s">
        <v>88</v>
      </c>
      <c r="E1031">
        <v>2</v>
      </c>
      <c r="F1031" s="6">
        <f>VLOOKUP(D1031,Products!A$2:C$101,3,FALSE)*E1031</f>
        <v>34</v>
      </c>
      <c r="G1031" t="s">
        <v>401</v>
      </c>
    </row>
    <row r="1032" spans="1:7" x14ac:dyDescent="0.25">
      <c r="A1032" s="3">
        <v>43983</v>
      </c>
      <c r="B1032" s="2" t="str">
        <f t="shared" si="16"/>
        <v>sa-1-6</v>
      </c>
      <c r="C1032" t="s">
        <v>347</v>
      </c>
      <c r="D1032" t="s">
        <v>25</v>
      </c>
      <c r="E1032">
        <v>3</v>
      </c>
      <c r="F1032" s="6">
        <f>VLOOKUP(D1032,Products!A$2:C$101,3,FALSE)*E1032</f>
        <v>99</v>
      </c>
      <c r="G1032" t="s">
        <v>406</v>
      </c>
    </row>
    <row r="1033" spans="1:7" x14ac:dyDescent="0.25">
      <c r="A1033" s="3">
        <v>44612</v>
      </c>
      <c r="B1033" s="2" t="str">
        <f t="shared" si="16"/>
        <v>sa-20-2</v>
      </c>
      <c r="C1033" t="s">
        <v>351</v>
      </c>
      <c r="D1033" t="s">
        <v>2</v>
      </c>
      <c r="E1033">
        <v>4</v>
      </c>
      <c r="F1033" s="6">
        <f>VLOOKUP(D1033,Products!A$2:C$101,3,FALSE)*E1033</f>
        <v>264</v>
      </c>
      <c r="G1033" t="s">
        <v>401</v>
      </c>
    </row>
    <row r="1034" spans="1:7" x14ac:dyDescent="0.25">
      <c r="A1034" s="3">
        <v>44447</v>
      </c>
      <c r="B1034" s="2" t="str">
        <f t="shared" si="16"/>
        <v>sa-8-9</v>
      </c>
      <c r="C1034" t="s">
        <v>332</v>
      </c>
      <c r="D1034" t="s">
        <v>18</v>
      </c>
      <c r="E1034">
        <v>3</v>
      </c>
      <c r="F1034" s="6">
        <f>VLOOKUP(D1034,Products!A$2:C$101,3,FALSE)*E1034</f>
        <v>105</v>
      </c>
      <c r="G1034" t="s">
        <v>405</v>
      </c>
    </row>
    <row r="1035" spans="1:7" x14ac:dyDescent="0.25">
      <c r="A1035" s="3">
        <v>43894</v>
      </c>
      <c r="B1035" s="2" t="str">
        <f t="shared" si="16"/>
        <v>sa-4-3</v>
      </c>
      <c r="C1035" t="s">
        <v>329</v>
      </c>
      <c r="D1035" t="s">
        <v>39</v>
      </c>
      <c r="E1035">
        <v>4</v>
      </c>
      <c r="F1035" s="6">
        <f>VLOOKUP(D1035,Products!A$2:C$101,3,FALSE)*E1035</f>
        <v>128</v>
      </c>
      <c r="G1035" t="s">
        <v>395</v>
      </c>
    </row>
    <row r="1036" spans="1:7" x14ac:dyDescent="0.25">
      <c r="A1036" s="3">
        <v>44418</v>
      </c>
      <c r="B1036" s="2" t="str">
        <f t="shared" si="16"/>
        <v>sa-10-8</v>
      </c>
      <c r="C1036" t="s">
        <v>346</v>
      </c>
      <c r="D1036" t="s">
        <v>24</v>
      </c>
      <c r="E1036">
        <v>5</v>
      </c>
      <c r="F1036" s="6">
        <f>VLOOKUP(D1036,Products!A$2:C$101,3,FALSE)*E1036</f>
        <v>165</v>
      </c>
      <c r="G1036" t="s">
        <v>400</v>
      </c>
    </row>
    <row r="1037" spans="1:7" x14ac:dyDescent="0.25">
      <c r="A1037" s="3">
        <v>44280</v>
      </c>
      <c r="B1037" s="2" t="str">
        <f t="shared" si="16"/>
        <v>sa-25-3</v>
      </c>
      <c r="C1037" t="s">
        <v>314</v>
      </c>
      <c r="D1037" t="s">
        <v>72</v>
      </c>
      <c r="E1037">
        <v>6</v>
      </c>
      <c r="F1037" s="6">
        <f>VLOOKUP(D1037,Products!A$2:C$101,3,FALSE)*E1037</f>
        <v>186</v>
      </c>
      <c r="G1037" t="s">
        <v>396</v>
      </c>
    </row>
    <row r="1038" spans="1:7" x14ac:dyDescent="0.25">
      <c r="A1038" s="3">
        <v>44490</v>
      </c>
      <c r="B1038" s="2" t="str">
        <f t="shared" si="16"/>
        <v>sa-21-10</v>
      </c>
      <c r="C1038" t="s">
        <v>343</v>
      </c>
      <c r="D1038" t="s">
        <v>87</v>
      </c>
      <c r="E1038">
        <v>6</v>
      </c>
      <c r="F1038" s="6">
        <f>VLOOKUP(D1038,Products!A$2:C$101,3,FALSE)*E1038</f>
        <v>78</v>
      </c>
      <c r="G1038" t="s">
        <v>408</v>
      </c>
    </row>
    <row r="1039" spans="1:7" x14ac:dyDescent="0.25">
      <c r="A1039" s="3">
        <v>44509</v>
      </c>
      <c r="B1039" s="2" t="str">
        <f t="shared" si="16"/>
        <v>sa-9-11</v>
      </c>
      <c r="C1039" t="s">
        <v>350</v>
      </c>
      <c r="D1039" t="s">
        <v>53</v>
      </c>
      <c r="E1039">
        <v>6</v>
      </c>
      <c r="F1039" s="6">
        <f>VLOOKUP(D1039,Products!A$2:C$101,3,FALSE)*E1039</f>
        <v>192</v>
      </c>
      <c r="G1039" t="s">
        <v>399</v>
      </c>
    </row>
    <row r="1040" spans="1:7" x14ac:dyDescent="0.25">
      <c r="A1040" s="3">
        <v>44275</v>
      </c>
      <c r="B1040" s="2" t="str">
        <f t="shared" si="16"/>
        <v>sa-20-3</v>
      </c>
      <c r="C1040" t="s">
        <v>332</v>
      </c>
      <c r="D1040" t="s">
        <v>16</v>
      </c>
      <c r="E1040">
        <v>4</v>
      </c>
      <c r="F1040" s="6">
        <f>VLOOKUP(D1040,Products!A$2:C$101,3,FALSE)*E1040</f>
        <v>120</v>
      </c>
      <c r="G1040" t="s">
        <v>407</v>
      </c>
    </row>
    <row r="1041" spans="1:7" x14ac:dyDescent="0.25">
      <c r="A1041" s="3">
        <v>44453</v>
      </c>
      <c r="B1041" s="2" t="str">
        <f t="shared" si="16"/>
        <v>sa-14-9</v>
      </c>
      <c r="C1041" t="s">
        <v>338</v>
      </c>
      <c r="D1041" t="s">
        <v>74</v>
      </c>
      <c r="E1041">
        <v>5</v>
      </c>
      <c r="F1041" s="6">
        <f>VLOOKUP(D1041,Products!A$2:C$101,3,FALSE)*E1041</f>
        <v>170</v>
      </c>
      <c r="G1041" t="s">
        <v>405</v>
      </c>
    </row>
    <row r="1042" spans="1:7" x14ac:dyDescent="0.25">
      <c r="A1042" s="3">
        <v>44268</v>
      </c>
      <c r="B1042" s="2" t="str">
        <f t="shared" si="16"/>
        <v>sa-13-3</v>
      </c>
      <c r="C1042" t="s">
        <v>340</v>
      </c>
      <c r="D1042" t="s">
        <v>44</v>
      </c>
      <c r="E1042">
        <v>4</v>
      </c>
      <c r="F1042" s="6">
        <f>VLOOKUP(D1042,Products!A$2:C$101,3,FALSE)*E1042</f>
        <v>124</v>
      </c>
      <c r="G1042" t="s">
        <v>404</v>
      </c>
    </row>
    <row r="1043" spans="1:7" x14ac:dyDescent="0.25">
      <c r="A1043" s="3">
        <v>44409</v>
      </c>
      <c r="B1043" s="2" t="str">
        <f t="shared" si="16"/>
        <v>sa-1-8</v>
      </c>
      <c r="C1043" t="s">
        <v>334</v>
      </c>
      <c r="D1043" t="s">
        <v>98</v>
      </c>
      <c r="E1043">
        <v>3</v>
      </c>
      <c r="F1043" s="6">
        <f>VLOOKUP(D1043,Products!A$2:C$101,3,FALSE)*E1043</f>
        <v>57</v>
      </c>
      <c r="G1043" t="s">
        <v>405</v>
      </c>
    </row>
    <row r="1044" spans="1:7" x14ac:dyDescent="0.25">
      <c r="A1044" s="3">
        <v>43943</v>
      </c>
      <c r="B1044" s="2" t="str">
        <f t="shared" si="16"/>
        <v>sa-22-4</v>
      </c>
      <c r="C1044" t="s">
        <v>333</v>
      </c>
      <c r="D1044" t="s">
        <v>48</v>
      </c>
      <c r="E1044">
        <v>2</v>
      </c>
      <c r="F1044" s="6">
        <f>VLOOKUP(D1044,Products!A$2:C$101,3,FALSE)*E1044</f>
        <v>66</v>
      </c>
      <c r="G1044" t="s">
        <v>400</v>
      </c>
    </row>
    <row r="1045" spans="1:7" x14ac:dyDescent="0.25">
      <c r="A1045" s="3">
        <v>43998</v>
      </c>
      <c r="B1045" s="2" t="str">
        <f t="shared" si="16"/>
        <v>sa-16-6</v>
      </c>
      <c r="C1045" t="s">
        <v>353</v>
      </c>
      <c r="D1045" t="s">
        <v>67</v>
      </c>
      <c r="E1045">
        <v>6</v>
      </c>
      <c r="F1045" s="6">
        <f>VLOOKUP(D1045,Products!A$2:C$101,3,FALSE)*E1045</f>
        <v>192</v>
      </c>
      <c r="G1045" t="s">
        <v>395</v>
      </c>
    </row>
    <row r="1046" spans="1:7" x14ac:dyDescent="0.25">
      <c r="A1046" s="3">
        <v>44292</v>
      </c>
      <c r="B1046" s="2" t="str">
        <f t="shared" si="16"/>
        <v>sa-6-4</v>
      </c>
      <c r="C1046" t="s">
        <v>329</v>
      </c>
      <c r="D1046" t="s">
        <v>29</v>
      </c>
      <c r="E1046">
        <v>3</v>
      </c>
      <c r="F1046" s="6">
        <f>VLOOKUP(D1046,Products!A$2:C$101,3,FALSE)*E1046</f>
        <v>93</v>
      </c>
      <c r="G1046" t="s">
        <v>406</v>
      </c>
    </row>
    <row r="1047" spans="1:7" x14ac:dyDescent="0.25">
      <c r="A1047" s="3">
        <v>43895</v>
      </c>
      <c r="B1047" s="2" t="str">
        <f t="shared" si="16"/>
        <v>sa-5-3</v>
      </c>
      <c r="C1047" t="s">
        <v>348</v>
      </c>
      <c r="D1047" t="s">
        <v>27</v>
      </c>
      <c r="E1047">
        <v>2</v>
      </c>
      <c r="F1047" s="6">
        <f>VLOOKUP(D1047,Products!A$2:C$101,3,FALSE)*E1047</f>
        <v>68</v>
      </c>
      <c r="G1047" t="s">
        <v>396</v>
      </c>
    </row>
    <row r="1048" spans="1:7" x14ac:dyDescent="0.25">
      <c r="A1048" s="3">
        <v>44497</v>
      </c>
      <c r="B1048" s="2" t="str">
        <f t="shared" si="16"/>
        <v>sa-28-10</v>
      </c>
      <c r="C1048" t="s">
        <v>317</v>
      </c>
      <c r="D1048" t="s">
        <v>69</v>
      </c>
      <c r="E1048">
        <v>3</v>
      </c>
      <c r="F1048" s="6">
        <f>VLOOKUP(D1048,Products!A$2:C$101,3,FALSE)*E1048</f>
        <v>90</v>
      </c>
      <c r="G1048" t="s">
        <v>402</v>
      </c>
    </row>
    <row r="1049" spans="1:7" x14ac:dyDescent="0.25">
      <c r="A1049" s="3">
        <v>43897</v>
      </c>
      <c r="B1049" s="2" t="str">
        <f t="shared" si="16"/>
        <v>sa-7-3</v>
      </c>
      <c r="C1049" t="s">
        <v>350</v>
      </c>
      <c r="D1049" t="s">
        <v>55</v>
      </c>
      <c r="E1049">
        <v>4</v>
      </c>
      <c r="F1049" s="6">
        <f>VLOOKUP(D1049,Products!A$2:C$101,3,FALSE)*E1049</f>
        <v>128</v>
      </c>
      <c r="G1049" t="s">
        <v>404</v>
      </c>
    </row>
    <row r="1050" spans="1:7" x14ac:dyDescent="0.25">
      <c r="A1050" s="3">
        <v>44070</v>
      </c>
      <c r="B1050" s="2" t="str">
        <f t="shared" si="16"/>
        <v>sa-27-8</v>
      </c>
      <c r="C1050" t="s">
        <v>308</v>
      </c>
      <c r="D1050" t="s">
        <v>101</v>
      </c>
      <c r="E1050">
        <v>3</v>
      </c>
      <c r="F1050" s="6">
        <f>VLOOKUP(D1050,Products!A$2:C$101,3,FALSE)*E1050</f>
        <v>30</v>
      </c>
      <c r="G1050" t="s">
        <v>397</v>
      </c>
    </row>
    <row r="1051" spans="1:7" x14ac:dyDescent="0.25">
      <c r="A1051" s="3">
        <v>44112</v>
      </c>
      <c r="B1051" s="2" t="str">
        <f t="shared" si="16"/>
        <v>sa-8-10</v>
      </c>
      <c r="C1051" t="s">
        <v>350</v>
      </c>
      <c r="D1051" t="s">
        <v>45</v>
      </c>
      <c r="E1051">
        <v>6</v>
      </c>
      <c r="F1051" s="6">
        <f>VLOOKUP(D1051,Products!A$2:C$101,3,FALSE)*E1051</f>
        <v>180</v>
      </c>
      <c r="G1051" t="s">
        <v>406</v>
      </c>
    </row>
    <row r="1052" spans="1:7" x14ac:dyDescent="0.25">
      <c r="A1052" s="3">
        <v>43875</v>
      </c>
      <c r="B1052" s="2" t="str">
        <f t="shared" si="16"/>
        <v>sa-14-2</v>
      </c>
      <c r="C1052" t="s">
        <v>350</v>
      </c>
      <c r="D1052" t="s">
        <v>2</v>
      </c>
      <c r="E1052">
        <v>3</v>
      </c>
      <c r="F1052" s="6">
        <f>VLOOKUP(D1052,Products!A$2:C$101,3,FALSE)*E1052</f>
        <v>198</v>
      </c>
      <c r="G1052" t="s">
        <v>400</v>
      </c>
    </row>
    <row r="1053" spans="1:7" x14ac:dyDescent="0.25">
      <c r="A1053" s="3">
        <v>44155</v>
      </c>
      <c r="B1053" s="2" t="str">
        <f t="shared" si="16"/>
        <v>sa-20-11</v>
      </c>
      <c r="C1053" t="s">
        <v>333</v>
      </c>
      <c r="D1053" t="s">
        <v>95</v>
      </c>
      <c r="E1053">
        <v>3</v>
      </c>
      <c r="F1053" s="6">
        <f>VLOOKUP(D1053,Products!A$2:C$101,3,FALSE)*E1053</f>
        <v>36</v>
      </c>
      <c r="G1053" t="s">
        <v>397</v>
      </c>
    </row>
    <row r="1054" spans="1:7" x14ac:dyDescent="0.25">
      <c r="A1054" s="3">
        <v>44631</v>
      </c>
      <c r="B1054" s="2" t="str">
        <f t="shared" si="16"/>
        <v>sa-11-3</v>
      </c>
      <c r="C1054" t="s">
        <v>339</v>
      </c>
      <c r="D1054" t="s">
        <v>66</v>
      </c>
      <c r="E1054">
        <v>4</v>
      </c>
      <c r="F1054" s="6">
        <f>VLOOKUP(D1054,Products!A$2:C$101,3,FALSE)*E1054</f>
        <v>120</v>
      </c>
      <c r="G1054" t="s">
        <v>408</v>
      </c>
    </row>
    <row r="1055" spans="1:7" x14ac:dyDescent="0.25">
      <c r="A1055" s="3">
        <v>44556</v>
      </c>
      <c r="B1055" s="2" t="str">
        <f t="shared" si="16"/>
        <v>sa-26-12</v>
      </c>
      <c r="C1055" t="s">
        <v>346</v>
      </c>
      <c r="D1055" t="s">
        <v>85</v>
      </c>
      <c r="E1055">
        <v>6</v>
      </c>
      <c r="F1055" s="6">
        <f>VLOOKUP(D1055,Products!A$2:C$101,3,FALSE)*E1055</f>
        <v>198</v>
      </c>
      <c r="G1055" t="s">
        <v>401</v>
      </c>
    </row>
    <row r="1056" spans="1:7" x14ac:dyDescent="0.25">
      <c r="A1056" s="3">
        <v>44036</v>
      </c>
      <c r="B1056" s="2" t="str">
        <f t="shared" si="16"/>
        <v>sa-24-7</v>
      </c>
      <c r="C1056" t="s">
        <v>342</v>
      </c>
      <c r="D1056" t="s">
        <v>60</v>
      </c>
      <c r="E1056">
        <v>3</v>
      </c>
      <c r="F1056" s="6">
        <f>VLOOKUP(D1056,Products!A$2:C$101,3,FALSE)*E1056</f>
        <v>90</v>
      </c>
      <c r="G1056" t="s">
        <v>407</v>
      </c>
    </row>
    <row r="1057" spans="1:7" x14ac:dyDescent="0.25">
      <c r="A1057" s="3">
        <v>44018</v>
      </c>
      <c r="B1057" s="2" t="str">
        <f t="shared" si="16"/>
        <v>sa-6-7</v>
      </c>
      <c r="C1057" t="s">
        <v>337</v>
      </c>
      <c r="D1057" t="s">
        <v>87</v>
      </c>
      <c r="E1057">
        <v>6</v>
      </c>
      <c r="F1057" s="6">
        <f>VLOOKUP(D1057,Products!A$2:C$101,3,FALSE)*E1057</f>
        <v>78</v>
      </c>
      <c r="G1057" t="s">
        <v>403</v>
      </c>
    </row>
    <row r="1058" spans="1:7" x14ac:dyDescent="0.25">
      <c r="A1058" s="3">
        <v>43992</v>
      </c>
      <c r="B1058" s="2" t="str">
        <f t="shared" si="16"/>
        <v>sa-10-6</v>
      </c>
      <c r="C1058" t="s">
        <v>312</v>
      </c>
      <c r="D1058" t="s">
        <v>6</v>
      </c>
      <c r="E1058">
        <v>2</v>
      </c>
      <c r="F1058" s="6">
        <f>VLOOKUP(D1058,Products!A$2:C$101,3,FALSE)*E1058</f>
        <v>138</v>
      </c>
      <c r="G1058" t="s">
        <v>400</v>
      </c>
    </row>
    <row r="1059" spans="1:7" x14ac:dyDescent="0.25">
      <c r="A1059" s="3">
        <v>44034</v>
      </c>
      <c r="B1059" s="2" t="str">
        <f t="shared" si="16"/>
        <v>sa-22-7</v>
      </c>
      <c r="C1059" t="s">
        <v>310</v>
      </c>
      <c r="D1059" t="s">
        <v>29</v>
      </c>
      <c r="E1059">
        <v>3</v>
      </c>
      <c r="F1059" s="6">
        <f>VLOOKUP(D1059,Products!A$2:C$101,3,FALSE)*E1059</f>
        <v>93</v>
      </c>
      <c r="G1059" t="s">
        <v>407</v>
      </c>
    </row>
    <row r="1060" spans="1:7" x14ac:dyDescent="0.25">
      <c r="A1060" s="3">
        <v>43911</v>
      </c>
      <c r="B1060" s="2" t="str">
        <f t="shared" si="16"/>
        <v>sa-21-3</v>
      </c>
      <c r="C1060" t="s">
        <v>322</v>
      </c>
      <c r="D1060" t="s">
        <v>21</v>
      </c>
      <c r="E1060">
        <v>3</v>
      </c>
      <c r="F1060" s="6">
        <f>VLOOKUP(D1060,Products!A$2:C$101,3,FALSE)*E1060</f>
        <v>99</v>
      </c>
      <c r="G1060" t="s">
        <v>406</v>
      </c>
    </row>
    <row r="1061" spans="1:7" x14ac:dyDescent="0.25">
      <c r="A1061" s="3">
        <v>44289</v>
      </c>
      <c r="B1061" s="2" t="str">
        <f t="shared" si="16"/>
        <v>sa-3-4</v>
      </c>
      <c r="C1061" t="s">
        <v>326</v>
      </c>
      <c r="D1061" t="s">
        <v>69</v>
      </c>
      <c r="E1061">
        <v>2</v>
      </c>
      <c r="F1061" s="6">
        <f>VLOOKUP(D1061,Products!A$2:C$101,3,FALSE)*E1061</f>
        <v>60</v>
      </c>
      <c r="G1061" t="s">
        <v>408</v>
      </c>
    </row>
    <row r="1062" spans="1:7" x14ac:dyDescent="0.25">
      <c r="A1062" s="3">
        <v>44009</v>
      </c>
      <c r="B1062" s="2" t="str">
        <f t="shared" si="16"/>
        <v>sa-27-6</v>
      </c>
      <c r="C1062" t="s">
        <v>322</v>
      </c>
      <c r="D1062" t="s">
        <v>76</v>
      </c>
      <c r="E1062">
        <v>2</v>
      </c>
      <c r="F1062" s="6">
        <f>VLOOKUP(D1062,Products!A$2:C$101,3,FALSE)*E1062</f>
        <v>68</v>
      </c>
      <c r="G1062" t="s">
        <v>403</v>
      </c>
    </row>
    <row r="1063" spans="1:7" x14ac:dyDescent="0.25">
      <c r="A1063" s="3">
        <v>43899</v>
      </c>
      <c r="B1063" s="2" t="str">
        <f t="shared" si="16"/>
        <v>sa-9-3</v>
      </c>
      <c r="C1063" t="s">
        <v>314</v>
      </c>
      <c r="D1063" t="s">
        <v>45</v>
      </c>
      <c r="E1063">
        <v>3</v>
      </c>
      <c r="F1063" s="6">
        <f>VLOOKUP(D1063,Products!A$2:C$101,3,FALSE)*E1063</f>
        <v>90</v>
      </c>
      <c r="G1063" t="s">
        <v>403</v>
      </c>
    </row>
    <row r="1064" spans="1:7" x14ac:dyDescent="0.25">
      <c r="A1064" s="3">
        <v>44380</v>
      </c>
      <c r="B1064" s="2" t="str">
        <f t="shared" si="16"/>
        <v>sa-3-7</v>
      </c>
      <c r="C1064" t="s">
        <v>318</v>
      </c>
      <c r="D1064" t="s">
        <v>89</v>
      </c>
      <c r="E1064">
        <v>4</v>
      </c>
      <c r="F1064" s="6">
        <f>VLOOKUP(D1064,Products!A$2:C$101,3,FALSE)*E1064</f>
        <v>80</v>
      </c>
      <c r="G1064" t="s">
        <v>400</v>
      </c>
    </row>
    <row r="1065" spans="1:7" x14ac:dyDescent="0.25">
      <c r="A1065" s="3">
        <v>44673</v>
      </c>
      <c r="B1065" s="2" t="str">
        <f t="shared" si="16"/>
        <v>sa-22-4</v>
      </c>
      <c r="C1065" t="s">
        <v>347</v>
      </c>
      <c r="D1065" t="s">
        <v>51</v>
      </c>
      <c r="E1065">
        <v>4</v>
      </c>
      <c r="F1065" s="6">
        <f>VLOOKUP(D1065,Products!A$2:C$101,3,FALSE)*E1065</f>
        <v>124</v>
      </c>
      <c r="G1065" t="s">
        <v>401</v>
      </c>
    </row>
    <row r="1066" spans="1:7" x14ac:dyDescent="0.25">
      <c r="A1066" s="3">
        <v>44112</v>
      </c>
      <c r="B1066" s="2" t="str">
        <f t="shared" si="16"/>
        <v>sa-8-10</v>
      </c>
      <c r="C1066" t="s">
        <v>318</v>
      </c>
      <c r="D1066" t="s">
        <v>6</v>
      </c>
      <c r="E1066">
        <v>2</v>
      </c>
      <c r="F1066" s="6">
        <f>VLOOKUP(D1066,Products!A$2:C$101,3,FALSE)*E1066</f>
        <v>138</v>
      </c>
      <c r="G1066" t="s">
        <v>406</v>
      </c>
    </row>
    <row r="1067" spans="1:7" x14ac:dyDescent="0.25">
      <c r="A1067" s="3">
        <v>43867</v>
      </c>
      <c r="B1067" s="2" t="str">
        <f t="shared" si="16"/>
        <v>sa-6-2</v>
      </c>
      <c r="C1067" t="s">
        <v>353</v>
      </c>
      <c r="D1067" t="s">
        <v>57</v>
      </c>
      <c r="E1067">
        <v>6</v>
      </c>
      <c r="F1067" s="6">
        <f>VLOOKUP(D1067,Products!A$2:C$101,3,FALSE)*E1067</f>
        <v>210</v>
      </c>
      <c r="G1067" t="s">
        <v>399</v>
      </c>
    </row>
    <row r="1068" spans="1:7" x14ac:dyDescent="0.25">
      <c r="A1068" s="3">
        <v>43878</v>
      </c>
      <c r="B1068" s="2" t="str">
        <f t="shared" si="16"/>
        <v>sa-17-2</v>
      </c>
      <c r="C1068" t="s">
        <v>331</v>
      </c>
      <c r="D1068" t="s">
        <v>60</v>
      </c>
      <c r="E1068">
        <v>4</v>
      </c>
      <c r="F1068" s="6">
        <f>VLOOKUP(D1068,Products!A$2:C$101,3,FALSE)*E1068</f>
        <v>120</v>
      </c>
      <c r="G1068" t="s">
        <v>395</v>
      </c>
    </row>
    <row r="1069" spans="1:7" x14ac:dyDescent="0.25">
      <c r="A1069" s="3">
        <v>43929</v>
      </c>
      <c r="B1069" s="2" t="str">
        <f t="shared" si="16"/>
        <v>sa-8-4</v>
      </c>
      <c r="C1069" t="s">
        <v>310</v>
      </c>
      <c r="D1069" t="s">
        <v>41</v>
      </c>
      <c r="E1069">
        <v>4</v>
      </c>
      <c r="F1069" s="6">
        <f>VLOOKUP(D1069,Products!A$2:C$101,3,FALSE)*E1069</f>
        <v>132</v>
      </c>
      <c r="G1069" t="s">
        <v>395</v>
      </c>
    </row>
    <row r="1070" spans="1:7" x14ac:dyDescent="0.25">
      <c r="A1070" s="3">
        <v>44199</v>
      </c>
      <c r="B1070" s="2" t="str">
        <f t="shared" si="16"/>
        <v>sa-3-1</v>
      </c>
      <c r="C1070" t="s">
        <v>321</v>
      </c>
      <c r="D1070" t="s">
        <v>17</v>
      </c>
      <c r="E1070">
        <v>2</v>
      </c>
      <c r="F1070" s="6">
        <f>VLOOKUP(D1070,Products!A$2:C$101,3,FALSE)*E1070</f>
        <v>64</v>
      </c>
      <c r="G1070" t="s">
        <v>406</v>
      </c>
    </row>
    <row r="1071" spans="1:7" x14ac:dyDescent="0.25">
      <c r="A1071" s="3">
        <v>44629</v>
      </c>
      <c r="B1071" s="2" t="str">
        <f t="shared" si="16"/>
        <v>sa-9-3</v>
      </c>
      <c r="C1071" t="s">
        <v>339</v>
      </c>
      <c r="D1071" t="s">
        <v>67</v>
      </c>
      <c r="E1071">
        <v>2</v>
      </c>
      <c r="F1071" s="6">
        <f>VLOOKUP(D1071,Products!A$2:C$101,3,FALSE)*E1071</f>
        <v>64</v>
      </c>
      <c r="G1071" t="s">
        <v>400</v>
      </c>
    </row>
    <row r="1072" spans="1:7" x14ac:dyDescent="0.25">
      <c r="A1072" s="3">
        <v>44177</v>
      </c>
      <c r="B1072" s="2" t="str">
        <f t="shared" si="16"/>
        <v>sa-12-12</v>
      </c>
      <c r="C1072" t="s">
        <v>307</v>
      </c>
      <c r="D1072" t="s">
        <v>83</v>
      </c>
      <c r="E1072">
        <v>2</v>
      </c>
      <c r="F1072" s="6">
        <f>VLOOKUP(D1072,Products!A$2:C$101,3,FALSE)*E1072</f>
        <v>60</v>
      </c>
      <c r="G1072" t="s">
        <v>404</v>
      </c>
    </row>
    <row r="1073" spans="1:7" x14ac:dyDescent="0.25">
      <c r="A1073" s="3">
        <v>44700</v>
      </c>
      <c r="B1073" s="2" t="str">
        <f t="shared" si="16"/>
        <v>sa-19-5</v>
      </c>
      <c r="C1073" t="s">
        <v>338</v>
      </c>
      <c r="D1073" t="s">
        <v>55</v>
      </c>
      <c r="E1073">
        <v>5</v>
      </c>
      <c r="F1073" s="6">
        <f>VLOOKUP(D1073,Products!A$2:C$101,3,FALSE)*E1073</f>
        <v>160</v>
      </c>
      <c r="G1073" t="s">
        <v>406</v>
      </c>
    </row>
    <row r="1074" spans="1:7" x14ac:dyDescent="0.25">
      <c r="A1074" s="3">
        <v>43907</v>
      </c>
      <c r="B1074" s="2" t="str">
        <f t="shared" si="16"/>
        <v>sa-17-3</v>
      </c>
      <c r="C1074" t="s">
        <v>335</v>
      </c>
      <c r="D1074" t="s">
        <v>46</v>
      </c>
      <c r="E1074">
        <v>5</v>
      </c>
      <c r="F1074" s="6">
        <f>VLOOKUP(D1074,Products!A$2:C$101,3,FALSE)*E1074</f>
        <v>150</v>
      </c>
      <c r="G1074" t="s">
        <v>403</v>
      </c>
    </row>
    <row r="1075" spans="1:7" x14ac:dyDescent="0.25">
      <c r="A1075" s="3">
        <v>44012</v>
      </c>
      <c r="B1075" s="2" t="str">
        <f t="shared" si="16"/>
        <v>sa-30-6</v>
      </c>
      <c r="C1075" t="s">
        <v>333</v>
      </c>
      <c r="D1075" t="s">
        <v>45</v>
      </c>
      <c r="E1075">
        <v>4</v>
      </c>
      <c r="F1075" s="6">
        <f>VLOOKUP(D1075,Products!A$2:C$101,3,FALSE)*E1075</f>
        <v>120</v>
      </c>
      <c r="G1075" t="s">
        <v>408</v>
      </c>
    </row>
    <row r="1076" spans="1:7" x14ac:dyDescent="0.25">
      <c r="A1076" s="3">
        <v>44601</v>
      </c>
      <c r="B1076" s="2" t="str">
        <f t="shared" si="16"/>
        <v>sa-9-2</v>
      </c>
      <c r="C1076" t="s">
        <v>342</v>
      </c>
      <c r="D1076" t="s">
        <v>47</v>
      </c>
      <c r="E1076">
        <v>4</v>
      </c>
      <c r="F1076" s="6">
        <f>VLOOKUP(D1076,Products!A$2:C$101,3,FALSE)*E1076</f>
        <v>128</v>
      </c>
      <c r="G1076" t="s">
        <v>406</v>
      </c>
    </row>
    <row r="1077" spans="1:7" x14ac:dyDescent="0.25">
      <c r="A1077" s="3">
        <v>43878</v>
      </c>
      <c r="B1077" s="2" t="str">
        <f t="shared" si="16"/>
        <v>sa-17-2</v>
      </c>
      <c r="C1077" t="s">
        <v>319</v>
      </c>
      <c r="D1077" t="s">
        <v>65</v>
      </c>
      <c r="E1077">
        <v>2</v>
      </c>
      <c r="F1077" s="6">
        <f>VLOOKUP(D1077,Products!A$2:C$101,3,FALSE)*E1077</f>
        <v>64</v>
      </c>
      <c r="G1077" t="s">
        <v>400</v>
      </c>
    </row>
    <row r="1078" spans="1:7" x14ac:dyDescent="0.25">
      <c r="A1078" s="3">
        <v>43875</v>
      </c>
      <c r="B1078" s="2" t="str">
        <f t="shared" si="16"/>
        <v>sa-14-2</v>
      </c>
      <c r="C1078" t="s">
        <v>355</v>
      </c>
      <c r="D1078" t="s">
        <v>93</v>
      </c>
      <c r="E1078">
        <v>3</v>
      </c>
      <c r="F1078" s="6">
        <f>VLOOKUP(D1078,Products!A$2:C$101,3,FALSE)*E1078</f>
        <v>51</v>
      </c>
      <c r="G1078" t="s">
        <v>407</v>
      </c>
    </row>
    <row r="1079" spans="1:7" x14ac:dyDescent="0.25">
      <c r="A1079" s="3">
        <v>44429</v>
      </c>
      <c r="B1079" s="2" t="str">
        <f t="shared" si="16"/>
        <v>sa-21-8</v>
      </c>
      <c r="C1079" t="s">
        <v>353</v>
      </c>
      <c r="D1079" t="s">
        <v>92</v>
      </c>
      <c r="E1079">
        <v>3</v>
      </c>
      <c r="F1079" s="6">
        <f>VLOOKUP(D1079,Products!A$2:C$101,3,FALSE)*E1079</f>
        <v>42</v>
      </c>
      <c r="G1079" t="s">
        <v>400</v>
      </c>
    </row>
    <row r="1080" spans="1:7" x14ac:dyDescent="0.25">
      <c r="A1080" s="3">
        <v>43911</v>
      </c>
      <c r="B1080" s="2" t="str">
        <f t="shared" si="16"/>
        <v>sa-21-3</v>
      </c>
      <c r="C1080" t="s">
        <v>334</v>
      </c>
      <c r="D1080" t="s">
        <v>39</v>
      </c>
      <c r="E1080">
        <v>2</v>
      </c>
      <c r="F1080" s="6">
        <f>VLOOKUP(D1080,Products!A$2:C$101,3,FALSE)*E1080</f>
        <v>64</v>
      </c>
      <c r="G1080" t="s">
        <v>399</v>
      </c>
    </row>
    <row r="1081" spans="1:7" x14ac:dyDescent="0.25">
      <c r="A1081" s="3">
        <v>44470</v>
      </c>
      <c r="B1081" s="2" t="str">
        <f t="shared" si="16"/>
        <v>sa-1-10</v>
      </c>
      <c r="C1081" t="s">
        <v>329</v>
      </c>
      <c r="D1081" t="s">
        <v>97</v>
      </c>
      <c r="E1081">
        <v>2</v>
      </c>
      <c r="F1081" s="6">
        <f>VLOOKUP(D1081,Products!A$2:C$101,3,FALSE)*E1081</f>
        <v>20</v>
      </c>
      <c r="G1081" t="s">
        <v>403</v>
      </c>
    </row>
    <row r="1082" spans="1:7" x14ac:dyDescent="0.25">
      <c r="A1082" s="3">
        <v>43847</v>
      </c>
      <c r="B1082" s="2" t="str">
        <f t="shared" si="16"/>
        <v>sa-17-1</v>
      </c>
      <c r="C1082" t="s">
        <v>352</v>
      </c>
      <c r="D1082" t="s">
        <v>72</v>
      </c>
      <c r="E1082">
        <v>6</v>
      </c>
      <c r="F1082" s="6">
        <f>VLOOKUP(D1082,Products!A$2:C$101,3,FALSE)*E1082</f>
        <v>186</v>
      </c>
      <c r="G1082" t="s">
        <v>407</v>
      </c>
    </row>
    <row r="1083" spans="1:7" x14ac:dyDescent="0.25">
      <c r="A1083" s="3">
        <v>44347</v>
      </c>
      <c r="B1083" s="2" t="str">
        <f t="shared" si="16"/>
        <v>sa-31-5</v>
      </c>
      <c r="C1083" t="s">
        <v>324</v>
      </c>
      <c r="D1083" t="s">
        <v>8</v>
      </c>
      <c r="E1083">
        <v>5</v>
      </c>
      <c r="F1083" s="6">
        <f>VLOOKUP(D1083,Products!A$2:C$101,3,FALSE)*E1083</f>
        <v>315</v>
      </c>
      <c r="G1083" t="s">
        <v>397</v>
      </c>
    </row>
    <row r="1084" spans="1:7" x14ac:dyDescent="0.25">
      <c r="A1084" s="3">
        <v>44487</v>
      </c>
      <c r="B1084" s="2" t="str">
        <f t="shared" si="16"/>
        <v>sa-18-10</v>
      </c>
      <c r="C1084" t="s">
        <v>327</v>
      </c>
      <c r="D1084" t="s">
        <v>73</v>
      </c>
      <c r="E1084">
        <v>2</v>
      </c>
      <c r="F1084" s="6">
        <f>VLOOKUP(D1084,Products!A$2:C$101,3,FALSE)*E1084</f>
        <v>70</v>
      </c>
      <c r="G1084" t="s">
        <v>399</v>
      </c>
    </row>
    <row r="1085" spans="1:7" x14ac:dyDescent="0.25">
      <c r="A1085" s="3">
        <v>44557</v>
      </c>
      <c r="B1085" s="2" t="str">
        <f t="shared" si="16"/>
        <v>sa-27-12</v>
      </c>
      <c r="C1085" t="s">
        <v>310</v>
      </c>
      <c r="D1085" t="s">
        <v>33</v>
      </c>
      <c r="E1085">
        <v>5</v>
      </c>
      <c r="F1085" s="6">
        <f>VLOOKUP(D1085,Products!A$2:C$101,3,FALSE)*E1085</f>
        <v>165</v>
      </c>
      <c r="G1085" t="s">
        <v>401</v>
      </c>
    </row>
    <row r="1086" spans="1:7" x14ac:dyDescent="0.25">
      <c r="A1086" s="3">
        <v>44183</v>
      </c>
      <c r="B1086" s="2" t="str">
        <f t="shared" si="16"/>
        <v>sa-18-12</v>
      </c>
      <c r="C1086" t="s">
        <v>339</v>
      </c>
      <c r="D1086" t="s">
        <v>52</v>
      </c>
      <c r="E1086">
        <v>3</v>
      </c>
      <c r="F1086" s="6">
        <f>VLOOKUP(D1086,Products!A$2:C$101,3,FALSE)*E1086</f>
        <v>99</v>
      </c>
      <c r="G1086" t="s">
        <v>407</v>
      </c>
    </row>
    <row r="1087" spans="1:7" x14ac:dyDescent="0.25">
      <c r="A1087" s="3">
        <v>44641</v>
      </c>
      <c r="B1087" s="2" t="str">
        <f t="shared" si="16"/>
        <v>sa-21-3</v>
      </c>
      <c r="C1087" t="s">
        <v>309</v>
      </c>
      <c r="D1087" t="s">
        <v>78</v>
      </c>
      <c r="E1087">
        <v>5</v>
      </c>
      <c r="F1087" s="6">
        <f>VLOOKUP(D1087,Products!A$2:C$101,3,FALSE)*E1087</f>
        <v>170</v>
      </c>
      <c r="G1087" t="s">
        <v>402</v>
      </c>
    </row>
    <row r="1088" spans="1:7" x14ac:dyDescent="0.25">
      <c r="A1088" s="3">
        <v>44232</v>
      </c>
      <c r="B1088" s="2" t="str">
        <f t="shared" si="16"/>
        <v>sa-5-2</v>
      </c>
      <c r="C1088" t="s">
        <v>308</v>
      </c>
      <c r="D1088" t="s">
        <v>44</v>
      </c>
      <c r="E1088">
        <v>6</v>
      </c>
      <c r="F1088" s="6">
        <f>VLOOKUP(D1088,Products!A$2:C$101,3,FALSE)*E1088</f>
        <v>186</v>
      </c>
      <c r="G1088" t="s">
        <v>407</v>
      </c>
    </row>
    <row r="1089" spans="1:7" x14ac:dyDescent="0.25">
      <c r="A1089" s="3">
        <v>44703</v>
      </c>
      <c r="B1089" s="2" t="str">
        <f t="shared" si="16"/>
        <v>sa-22-5</v>
      </c>
      <c r="C1089" t="s">
        <v>354</v>
      </c>
      <c r="D1089" t="s">
        <v>23</v>
      </c>
      <c r="E1089">
        <v>6</v>
      </c>
      <c r="F1089" s="6">
        <f>VLOOKUP(D1089,Products!A$2:C$101,3,FALSE)*E1089</f>
        <v>186</v>
      </c>
      <c r="G1089" t="s">
        <v>405</v>
      </c>
    </row>
    <row r="1090" spans="1:7" x14ac:dyDescent="0.25">
      <c r="A1090" s="3">
        <v>43994</v>
      </c>
      <c r="B1090" s="2" t="str">
        <f t="shared" si="16"/>
        <v>sa-12-6</v>
      </c>
      <c r="C1090" t="s">
        <v>322</v>
      </c>
      <c r="D1090" t="s">
        <v>34</v>
      </c>
      <c r="E1090">
        <v>5</v>
      </c>
      <c r="F1090" s="6">
        <f>VLOOKUP(D1090,Products!A$2:C$101,3,FALSE)*E1090</f>
        <v>175</v>
      </c>
      <c r="G1090" t="s">
        <v>401</v>
      </c>
    </row>
    <row r="1091" spans="1:7" x14ac:dyDescent="0.25">
      <c r="A1091" s="3">
        <v>43972</v>
      </c>
      <c r="B1091" s="2" t="str">
        <f t="shared" ref="B1091:B1154" si="17">"sa-"&amp;DAY(A1091)&amp;"-"&amp;MONTH(A1091)</f>
        <v>sa-21-5</v>
      </c>
      <c r="C1091" t="s">
        <v>329</v>
      </c>
      <c r="D1091" t="s">
        <v>76</v>
      </c>
      <c r="E1091">
        <v>5</v>
      </c>
      <c r="F1091" s="6">
        <f>VLOOKUP(D1091,Products!A$2:C$101,3,FALSE)*E1091</f>
        <v>170</v>
      </c>
      <c r="G1091" t="s">
        <v>398</v>
      </c>
    </row>
    <row r="1092" spans="1:7" x14ac:dyDescent="0.25">
      <c r="A1092" s="3">
        <v>44571</v>
      </c>
      <c r="B1092" s="2" t="str">
        <f t="shared" si="17"/>
        <v>sa-10-1</v>
      </c>
      <c r="C1092" t="s">
        <v>339</v>
      </c>
      <c r="D1092" t="s">
        <v>41</v>
      </c>
      <c r="E1092">
        <v>5</v>
      </c>
      <c r="F1092" s="6">
        <f>VLOOKUP(D1092,Products!A$2:C$101,3,FALSE)*E1092</f>
        <v>165</v>
      </c>
      <c r="G1092" t="s">
        <v>404</v>
      </c>
    </row>
    <row r="1093" spans="1:7" x14ac:dyDescent="0.25">
      <c r="A1093" s="3">
        <v>44189</v>
      </c>
      <c r="B1093" s="2" t="str">
        <f t="shared" si="17"/>
        <v>sa-24-12</v>
      </c>
      <c r="C1093" t="s">
        <v>329</v>
      </c>
      <c r="D1093" t="s">
        <v>15</v>
      </c>
      <c r="E1093">
        <v>3</v>
      </c>
      <c r="F1093" s="6">
        <f>VLOOKUP(D1093,Products!A$2:C$101,3,FALSE)*E1093</f>
        <v>105</v>
      </c>
      <c r="G1093" t="s">
        <v>408</v>
      </c>
    </row>
    <row r="1094" spans="1:7" x14ac:dyDescent="0.25">
      <c r="A1094" s="3">
        <v>44737</v>
      </c>
      <c r="B1094" s="2" t="str">
        <f t="shared" si="17"/>
        <v>sa-25-6</v>
      </c>
      <c r="C1094" t="s">
        <v>319</v>
      </c>
      <c r="D1094" t="s">
        <v>28</v>
      </c>
      <c r="E1094">
        <v>3</v>
      </c>
      <c r="F1094" s="6">
        <f>VLOOKUP(D1094,Products!A$2:C$101,3,FALSE)*E1094</f>
        <v>90</v>
      </c>
      <c r="G1094" t="s">
        <v>403</v>
      </c>
    </row>
    <row r="1095" spans="1:7" x14ac:dyDescent="0.25">
      <c r="A1095" s="3">
        <v>44161</v>
      </c>
      <c r="B1095" s="2" t="str">
        <f t="shared" si="17"/>
        <v>sa-26-11</v>
      </c>
      <c r="C1095" t="s">
        <v>336</v>
      </c>
      <c r="D1095" t="s">
        <v>27</v>
      </c>
      <c r="E1095">
        <v>3</v>
      </c>
      <c r="F1095" s="6">
        <f>VLOOKUP(D1095,Products!A$2:C$101,3,FALSE)*E1095</f>
        <v>102</v>
      </c>
      <c r="G1095" t="s">
        <v>408</v>
      </c>
    </row>
    <row r="1096" spans="1:7" x14ac:dyDescent="0.25">
      <c r="A1096" s="3">
        <v>44658</v>
      </c>
      <c r="B1096" s="2" t="str">
        <f t="shared" si="17"/>
        <v>sa-7-4</v>
      </c>
      <c r="C1096" t="s">
        <v>354</v>
      </c>
      <c r="D1096" t="s">
        <v>74</v>
      </c>
      <c r="E1096">
        <v>6</v>
      </c>
      <c r="F1096" s="6">
        <f>VLOOKUP(D1096,Products!A$2:C$101,3,FALSE)*E1096</f>
        <v>204</v>
      </c>
      <c r="G1096" t="s">
        <v>395</v>
      </c>
    </row>
    <row r="1097" spans="1:7" x14ac:dyDescent="0.25">
      <c r="A1097" s="3">
        <v>44215</v>
      </c>
      <c r="B1097" s="2" t="str">
        <f t="shared" si="17"/>
        <v>sa-19-1</v>
      </c>
      <c r="C1097" t="s">
        <v>320</v>
      </c>
      <c r="D1097" t="s">
        <v>97</v>
      </c>
      <c r="E1097">
        <v>2</v>
      </c>
      <c r="F1097" s="6">
        <f>VLOOKUP(D1097,Products!A$2:C$101,3,FALSE)*E1097</f>
        <v>20</v>
      </c>
      <c r="G1097" t="s">
        <v>398</v>
      </c>
    </row>
    <row r="1098" spans="1:7" x14ac:dyDescent="0.25">
      <c r="A1098" s="3">
        <v>43989</v>
      </c>
      <c r="B1098" s="2" t="str">
        <f t="shared" si="17"/>
        <v>sa-7-6</v>
      </c>
      <c r="C1098" t="s">
        <v>353</v>
      </c>
      <c r="D1098" t="s">
        <v>5</v>
      </c>
      <c r="E1098">
        <v>4</v>
      </c>
      <c r="F1098" s="6">
        <f>VLOOKUP(D1098,Products!A$2:C$101,3,FALSE)*E1098</f>
        <v>320</v>
      </c>
      <c r="G1098" t="s">
        <v>404</v>
      </c>
    </row>
    <row r="1099" spans="1:7" x14ac:dyDescent="0.25">
      <c r="A1099" s="3">
        <v>44347</v>
      </c>
      <c r="B1099" s="2" t="str">
        <f t="shared" si="17"/>
        <v>sa-31-5</v>
      </c>
      <c r="C1099" t="s">
        <v>327</v>
      </c>
      <c r="D1099" t="s">
        <v>98</v>
      </c>
      <c r="E1099">
        <v>5</v>
      </c>
      <c r="F1099" s="6">
        <f>VLOOKUP(D1099,Products!A$2:C$101,3,FALSE)*E1099</f>
        <v>95</v>
      </c>
      <c r="G1099" t="s">
        <v>403</v>
      </c>
    </row>
    <row r="1100" spans="1:7" x14ac:dyDescent="0.25">
      <c r="A1100" s="3">
        <v>44398</v>
      </c>
      <c r="B1100" s="2" t="str">
        <f t="shared" si="17"/>
        <v>sa-21-7</v>
      </c>
      <c r="C1100" t="s">
        <v>339</v>
      </c>
      <c r="D1100" t="s">
        <v>62</v>
      </c>
      <c r="E1100">
        <v>4</v>
      </c>
      <c r="F1100" s="6">
        <f>VLOOKUP(D1100,Products!A$2:C$101,3,FALSE)*E1100</f>
        <v>128</v>
      </c>
      <c r="G1100" t="s">
        <v>408</v>
      </c>
    </row>
    <row r="1101" spans="1:7" x14ac:dyDescent="0.25">
      <c r="A1101" s="3">
        <v>44020</v>
      </c>
      <c r="B1101" s="2" t="str">
        <f t="shared" si="17"/>
        <v>sa-8-7</v>
      </c>
      <c r="C1101" t="s">
        <v>342</v>
      </c>
      <c r="D1101" t="s">
        <v>9</v>
      </c>
      <c r="E1101">
        <v>6</v>
      </c>
      <c r="F1101" s="6">
        <f>VLOOKUP(D1101,Products!A$2:C$101,3,FALSE)*E1101</f>
        <v>480</v>
      </c>
      <c r="G1101" t="s">
        <v>396</v>
      </c>
    </row>
    <row r="1102" spans="1:7" x14ac:dyDescent="0.25">
      <c r="A1102" s="3">
        <v>44586</v>
      </c>
      <c r="B1102" s="2" t="str">
        <f t="shared" si="17"/>
        <v>sa-25-1</v>
      </c>
      <c r="C1102" t="s">
        <v>351</v>
      </c>
      <c r="D1102" t="s">
        <v>47</v>
      </c>
      <c r="E1102">
        <v>2</v>
      </c>
      <c r="F1102" s="6">
        <f>VLOOKUP(D1102,Products!A$2:C$101,3,FALSE)*E1102</f>
        <v>64</v>
      </c>
      <c r="G1102" t="s">
        <v>408</v>
      </c>
    </row>
    <row r="1103" spans="1:7" x14ac:dyDescent="0.25">
      <c r="A1103" s="3">
        <v>44395</v>
      </c>
      <c r="B1103" s="2" t="str">
        <f t="shared" si="17"/>
        <v>sa-18-7</v>
      </c>
      <c r="C1103" t="s">
        <v>314</v>
      </c>
      <c r="D1103" t="s">
        <v>14</v>
      </c>
      <c r="E1103">
        <v>4</v>
      </c>
      <c r="F1103" s="6">
        <f>VLOOKUP(D1103,Products!A$2:C$101,3,FALSE)*E1103</f>
        <v>316</v>
      </c>
      <c r="G1103" t="s">
        <v>398</v>
      </c>
    </row>
    <row r="1104" spans="1:7" x14ac:dyDescent="0.25">
      <c r="A1104" s="3">
        <v>44153</v>
      </c>
      <c r="B1104" s="2" t="str">
        <f t="shared" si="17"/>
        <v>sa-18-11</v>
      </c>
      <c r="C1104" t="s">
        <v>307</v>
      </c>
      <c r="D1104" t="s">
        <v>78</v>
      </c>
      <c r="E1104">
        <v>5</v>
      </c>
      <c r="F1104" s="6">
        <f>VLOOKUP(D1104,Products!A$2:C$101,3,FALSE)*E1104</f>
        <v>170</v>
      </c>
      <c r="G1104" t="s">
        <v>398</v>
      </c>
    </row>
    <row r="1105" spans="1:7" x14ac:dyDescent="0.25">
      <c r="A1105" s="3">
        <v>44292</v>
      </c>
      <c r="B1105" s="2" t="str">
        <f t="shared" si="17"/>
        <v>sa-6-4</v>
      </c>
      <c r="C1105" t="s">
        <v>309</v>
      </c>
      <c r="D1105" t="s">
        <v>2</v>
      </c>
      <c r="E1105">
        <v>5</v>
      </c>
      <c r="F1105" s="6">
        <f>VLOOKUP(D1105,Products!A$2:C$101,3,FALSE)*E1105</f>
        <v>330</v>
      </c>
      <c r="G1105" t="s">
        <v>396</v>
      </c>
    </row>
    <row r="1106" spans="1:7" x14ac:dyDescent="0.25">
      <c r="A1106" s="3">
        <v>44356</v>
      </c>
      <c r="B1106" s="2" t="str">
        <f t="shared" si="17"/>
        <v>sa-9-6</v>
      </c>
      <c r="C1106" t="s">
        <v>335</v>
      </c>
      <c r="D1106" t="s">
        <v>16</v>
      </c>
      <c r="E1106">
        <v>3</v>
      </c>
      <c r="F1106" s="6">
        <f>VLOOKUP(D1106,Products!A$2:C$101,3,FALSE)*E1106</f>
        <v>90</v>
      </c>
      <c r="G1106" t="s">
        <v>403</v>
      </c>
    </row>
    <row r="1107" spans="1:7" x14ac:dyDescent="0.25">
      <c r="A1107" s="3">
        <v>43922</v>
      </c>
      <c r="B1107" s="2" t="str">
        <f t="shared" si="17"/>
        <v>sa-1-4</v>
      </c>
      <c r="C1107" t="s">
        <v>335</v>
      </c>
      <c r="D1107" t="s">
        <v>74</v>
      </c>
      <c r="E1107">
        <v>5</v>
      </c>
      <c r="F1107" s="6">
        <f>VLOOKUP(D1107,Products!A$2:C$101,3,FALSE)*E1107</f>
        <v>170</v>
      </c>
      <c r="G1107" t="s">
        <v>404</v>
      </c>
    </row>
    <row r="1108" spans="1:7" x14ac:dyDescent="0.25">
      <c r="A1108" s="3">
        <v>44034</v>
      </c>
      <c r="B1108" s="2" t="str">
        <f t="shared" si="17"/>
        <v>sa-22-7</v>
      </c>
      <c r="C1108" t="s">
        <v>323</v>
      </c>
      <c r="D1108" t="s">
        <v>24</v>
      </c>
      <c r="E1108">
        <v>2</v>
      </c>
      <c r="F1108" s="6">
        <f>VLOOKUP(D1108,Products!A$2:C$101,3,FALSE)*E1108</f>
        <v>66</v>
      </c>
      <c r="G1108" t="s">
        <v>399</v>
      </c>
    </row>
    <row r="1109" spans="1:7" x14ac:dyDescent="0.25">
      <c r="A1109" s="3">
        <v>44641</v>
      </c>
      <c r="B1109" s="2" t="str">
        <f t="shared" si="17"/>
        <v>sa-21-3</v>
      </c>
      <c r="C1109" t="s">
        <v>312</v>
      </c>
      <c r="D1109" t="s">
        <v>93</v>
      </c>
      <c r="E1109">
        <v>5</v>
      </c>
      <c r="F1109" s="6">
        <f>VLOOKUP(D1109,Products!A$2:C$101,3,FALSE)*E1109</f>
        <v>85</v>
      </c>
      <c r="G1109" t="s">
        <v>408</v>
      </c>
    </row>
    <row r="1110" spans="1:7" x14ac:dyDescent="0.25">
      <c r="A1110" s="3">
        <v>44383</v>
      </c>
      <c r="B1110" s="2" t="str">
        <f t="shared" si="17"/>
        <v>sa-6-7</v>
      </c>
      <c r="C1110" t="s">
        <v>349</v>
      </c>
      <c r="D1110" t="s">
        <v>34</v>
      </c>
      <c r="E1110">
        <v>2</v>
      </c>
      <c r="F1110" s="6">
        <f>VLOOKUP(D1110,Products!A$2:C$101,3,FALSE)*E1110</f>
        <v>70</v>
      </c>
      <c r="G1110" t="s">
        <v>402</v>
      </c>
    </row>
    <row r="1111" spans="1:7" x14ac:dyDescent="0.25">
      <c r="A1111" s="3">
        <v>44097</v>
      </c>
      <c r="B1111" s="2" t="str">
        <f t="shared" si="17"/>
        <v>sa-23-9</v>
      </c>
      <c r="C1111" t="s">
        <v>347</v>
      </c>
      <c r="D1111" t="s">
        <v>5</v>
      </c>
      <c r="E1111">
        <v>3</v>
      </c>
      <c r="F1111" s="6">
        <f>VLOOKUP(D1111,Products!A$2:C$101,3,FALSE)*E1111</f>
        <v>240</v>
      </c>
      <c r="G1111" t="s">
        <v>403</v>
      </c>
    </row>
    <row r="1112" spans="1:7" x14ac:dyDescent="0.25">
      <c r="A1112" s="3">
        <v>44478</v>
      </c>
      <c r="B1112" s="2" t="str">
        <f t="shared" si="17"/>
        <v>sa-9-10</v>
      </c>
      <c r="C1112" t="s">
        <v>351</v>
      </c>
      <c r="D1112" t="s">
        <v>32</v>
      </c>
      <c r="E1112">
        <v>3</v>
      </c>
      <c r="F1112" s="6">
        <f>VLOOKUP(D1112,Products!A$2:C$101,3,FALSE)*E1112</f>
        <v>102</v>
      </c>
      <c r="G1112" t="s">
        <v>402</v>
      </c>
    </row>
    <row r="1113" spans="1:7" x14ac:dyDescent="0.25">
      <c r="A1113" s="3">
        <v>43986</v>
      </c>
      <c r="B1113" s="2" t="str">
        <f t="shared" si="17"/>
        <v>sa-4-6</v>
      </c>
      <c r="C1113" t="s">
        <v>344</v>
      </c>
      <c r="D1113" t="s">
        <v>81</v>
      </c>
      <c r="E1113">
        <v>3</v>
      </c>
      <c r="F1113" s="6">
        <f>VLOOKUP(D1113,Products!A$2:C$101,3,FALSE)*E1113</f>
        <v>96</v>
      </c>
      <c r="G1113" t="s">
        <v>402</v>
      </c>
    </row>
    <row r="1114" spans="1:7" x14ac:dyDescent="0.25">
      <c r="A1114" s="3">
        <v>44535</v>
      </c>
      <c r="B1114" s="2" t="str">
        <f t="shared" si="17"/>
        <v>sa-5-12</v>
      </c>
      <c r="C1114" t="s">
        <v>338</v>
      </c>
      <c r="D1114" t="s">
        <v>66</v>
      </c>
      <c r="E1114">
        <v>4</v>
      </c>
      <c r="F1114" s="6">
        <f>VLOOKUP(D1114,Products!A$2:C$101,3,FALSE)*E1114</f>
        <v>120</v>
      </c>
      <c r="G1114" t="s">
        <v>407</v>
      </c>
    </row>
    <row r="1115" spans="1:7" x14ac:dyDescent="0.25">
      <c r="A1115" s="3">
        <v>44295</v>
      </c>
      <c r="B1115" s="2" t="str">
        <f t="shared" si="17"/>
        <v>sa-9-4</v>
      </c>
      <c r="C1115" t="s">
        <v>326</v>
      </c>
      <c r="D1115" t="s">
        <v>70</v>
      </c>
      <c r="E1115">
        <v>5</v>
      </c>
      <c r="F1115" s="6">
        <f>VLOOKUP(D1115,Products!A$2:C$101,3,FALSE)*E1115</f>
        <v>175</v>
      </c>
      <c r="G1115" t="s">
        <v>398</v>
      </c>
    </row>
    <row r="1116" spans="1:7" x14ac:dyDescent="0.25">
      <c r="A1116" s="3">
        <v>43994</v>
      </c>
      <c r="B1116" s="2" t="str">
        <f t="shared" si="17"/>
        <v>sa-12-6</v>
      </c>
      <c r="C1116" t="s">
        <v>324</v>
      </c>
      <c r="D1116" t="s">
        <v>93</v>
      </c>
      <c r="E1116">
        <v>5</v>
      </c>
      <c r="F1116" s="6">
        <f>VLOOKUP(D1116,Products!A$2:C$101,3,FALSE)*E1116</f>
        <v>85</v>
      </c>
      <c r="G1116" t="s">
        <v>401</v>
      </c>
    </row>
    <row r="1117" spans="1:7" x14ac:dyDescent="0.25">
      <c r="A1117" s="3">
        <v>44712</v>
      </c>
      <c r="B1117" s="2" t="str">
        <f t="shared" si="17"/>
        <v>sa-31-5</v>
      </c>
      <c r="C1117" t="s">
        <v>343</v>
      </c>
      <c r="D1117" t="s">
        <v>12</v>
      </c>
      <c r="E1117">
        <v>2</v>
      </c>
      <c r="F1117" s="6">
        <f>VLOOKUP(D1117,Products!A$2:C$101,3,FALSE)*E1117</f>
        <v>148</v>
      </c>
      <c r="G1117" t="s">
        <v>397</v>
      </c>
    </row>
    <row r="1118" spans="1:7" x14ac:dyDescent="0.25">
      <c r="A1118" s="3">
        <v>44504</v>
      </c>
      <c r="B1118" s="2" t="str">
        <f t="shared" si="17"/>
        <v>sa-4-11</v>
      </c>
      <c r="C1118" t="s">
        <v>317</v>
      </c>
      <c r="D1118" t="s">
        <v>42</v>
      </c>
      <c r="E1118">
        <v>3</v>
      </c>
      <c r="F1118" s="6">
        <f>VLOOKUP(D1118,Products!A$2:C$101,3,FALSE)*E1118</f>
        <v>102</v>
      </c>
      <c r="G1118" t="s">
        <v>398</v>
      </c>
    </row>
    <row r="1119" spans="1:7" x14ac:dyDescent="0.25">
      <c r="A1119" s="3">
        <v>44199</v>
      </c>
      <c r="B1119" s="2" t="str">
        <f t="shared" si="17"/>
        <v>sa-3-1</v>
      </c>
      <c r="C1119" t="s">
        <v>349</v>
      </c>
      <c r="D1119" t="s">
        <v>41</v>
      </c>
      <c r="E1119">
        <v>4</v>
      </c>
      <c r="F1119" s="6">
        <f>VLOOKUP(D1119,Products!A$2:C$101,3,FALSE)*E1119</f>
        <v>132</v>
      </c>
      <c r="G1119" t="s">
        <v>396</v>
      </c>
    </row>
    <row r="1120" spans="1:7" x14ac:dyDescent="0.25">
      <c r="A1120" s="3">
        <v>44070</v>
      </c>
      <c r="B1120" s="2" t="str">
        <f t="shared" si="17"/>
        <v>sa-27-8</v>
      </c>
      <c r="C1120" t="s">
        <v>329</v>
      </c>
      <c r="D1120" t="s">
        <v>39</v>
      </c>
      <c r="E1120">
        <v>5</v>
      </c>
      <c r="F1120" s="6">
        <f>VLOOKUP(D1120,Products!A$2:C$101,3,FALSE)*E1120</f>
        <v>160</v>
      </c>
      <c r="G1120" t="s">
        <v>402</v>
      </c>
    </row>
    <row r="1121" spans="1:7" x14ac:dyDescent="0.25">
      <c r="A1121" s="3">
        <v>44411</v>
      </c>
      <c r="B1121" s="2" t="str">
        <f t="shared" si="17"/>
        <v>sa-3-8</v>
      </c>
      <c r="C1121" t="s">
        <v>333</v>
      </c>
      <c r="D1121" t="s">
        <v>3</v>
      </c>
      <c r="E1121">
        <v>2</v>
      </c>
      <c r="F1121" s="6">
        <f>VLOOKUP(D1121,Products!A$2:C$101,3,FALSE)*E1121</f>
        <v>148</v>
      </c>
      <c r="G1121" t="s">
        <v>408</v>
      </c>
    </row>
    <row r="1122" spans="1:7" x14ac:dyDescent="0.25">
      <c r="A1122" s="3">
        <v>44608</v>
      </c>
      <c r="B1122" s="2" t="str">
        <f t="shared" si="17"/>
        <v>sa-16-2</v>
      </c>
      <c r="C1122" t="s">
        <v>317</v>
      </c>
      <c r="D1122" t="s">
        <v>86</v>
      </c>
      <c r="E1122">
        <v>3</v>
      </c>
      <c r="F1122" s="6">
        <f>VLOOKUP(D1122,Products!A$2:C$101,3,FALSE)*E1122</f>
        <v>102</v>
      </c>
      <c r="G1122" t="s">
        <v>406</v>
      </c>
    </row>
    <row r="1123" spans="1:7" x14ac:dyDescent="0.25">
      <c r="A1123" s="3">
        <v>44310</v>
      </c>
      <c r="B1123" s="2" t="str">
        <f t="shared" si="17"/>
        <v>sa-24-4</v>
      </c>
      <c r="C1123" t="s">
        <v>310</v>
      </c>
      <c r="D1123" t="s">
        <v>69</v>
      </c>
      <c r="E1123">
        <v>5</v>
      </c>
      <c r="F1123" s="6">
        <f>VLOOKUP(D1123,Products!A$2:C$101,3,FALSE)*E1123</f>
        <v>150</v>
      </c>
      <c r="G1123" t="s">
        <v>396</v>
      </c>
    </row>
    <row r="1124" spans="1:7" x14ac:dyDescent="0.25">
      <c r="A1124" s="3">
        <v>44361</v>
      </c>
      <c r="B1124" s="2" t="str">
        <f t="shared" si="17"/>
        <v>sa-14-6</v>
      </c>
      <c r="C1124" t="s">
        <v>346</v>
      </c>
      <c r="D1124" t="s">
        <v>88</v>
      </c>
      <c r="E1124">
        <v>3</v>
      </c>
      <c r="F1124" s="6">
        <f>VLOOKUP(D1124,Products!A$2:C$101,3,FALSE)*E1124</f>
        <v>51</v>
      </c>
      <c r="G1124" t="s">
        <v>402</v>
      </c>
    </row>
    <row r="1125" spans="1:7" x14ac:dyDescent="0.25">
      <c r="A1125" s="3">
        <v>44132</v>
      </c>
      <c r="B1125" s="2" t="str">
        <f t="shared" si="17"/>
        <v>sa-28-10</v>
      </c>
      <c r="C1125" t="s">
        <v>344</v>
      </c>
      <c r="D1125" t="s">
        <v>23</v>
      </c>
      <c r="E1125">
        <v>4</v>
      </c>
      <c r="F1125" s="6">
        <f>VLOOKUP(D1125,Products!A$2:C$101,3,FALSE)*E1125</f>
        <v>124</v>
      </c>
      <c r="G1125" t="s">
        <v>403</v>
      </c>
    </row>
    <row r="1126" spans="1:7" x14ac:dyDescent="0.25">
      <c r="A1126" s="3">
        <v>44364</v>
      </c>
      <c r="B1126" s="2" t="str">
        <f t="shared" si="17"/>
        <v>sa-17-6</v>
      </c>
      <c r="C1126" t="s">
        <v>331</v>
      </c>
      <c r="D1126" t="s">
        <v>9</v>
      </c>
      <c r="E1126">
        <v>4</v>
      </c>
      <c r="F1126" s="6">
        <f>VLOOKUP(D1126,Products!A$2:C$101,3,FALSE)*E1126</f>
        <v>320</v>
      </c>
      <c r="G1126" t="s">
        <v>408</v>
      </c>
    </row>
    <row r="1127" spans="1:7" x14ac:dyDescent="0.25">
      <c r="A1127" s="3">
        <v>44297</v>
      </c>
      <c r="B1127" s="2" t="str">
        <f t="shared" si="17"/>
        <v>sa-11-4</v>
      </c>
      <c r="C1127" t="s">
        <v>322</v>
      </c>
      <c r="D1127" t="s">
        <v>38</v>
      </c>
      <c r="E1127">
        <v>2</v>
      </c>
      <c r="F1127" s="6">
        <f>VLOOKUP(D1127,Products!A$2:C$101,3,FALSE)*E1127</f>
        <v>64</v>
      </c>
      <c r="G1127" t="s">
        <v>407</v>
      </c>
    </row>
    <row r="1128" spans="1:7" x14ac:dyDescent="0.25">
      <c r="A1128" s="3">
        <v>44627</v>
      </c>
      <c r="B1128" s="2" t="str">
        <f t="shared" si="17"/>
        <v>sa-7-3</v>
      </c>
      <c r="C1128" t="s">
        <v>348</v>
      </c>
      <c r="D1128" t="s">
        <v>69</v>
      </c>
      <c r="E1128">
        <v>4</v>
      </c>
      <c r="F1128" s="6">
        <f>VLOOKUP(D1128,Products!A$2:C$101,3,FALSE)*E1128</f>
        <v>120</v>
      </c>
      <c r="G1128" t="s">
        <v>399</v>
      </c>
    </row>
    <row r="1129" spans="1:7" x14ac:dyDescent="0.25">
      <c r="A1129" s="3">
        <v>44462</v>
      </c>
      <c r="B1129" s="2" t="str">
        <f t="shared" si="17"/>
        <v>sa-23-9</v>
      </c>
      <c r="C1129" t="s">
        <v>331</v>
      </c>
      <c r="D1129" t="s">
        <v>50</v>
      </c>
      <c r="E1129">
        <v>3</v>
      </c>
      <c r="F1129" s="6">
        <f>VLOOKUP(D1129,Products!A$2:C$101,3,FALSE)*E1129</f>
        <v>96</v>
      </c>
      <c r="G1129" t="s">
        <v>400</v>
      </c>
    </row>
    <row r="1130" spans="1:7" x14ac:dyDescent="0.25">
      <c r="A1130" s="3">
        <v>44484</v>
      </c>
      <c r="B1130" s="2" t="str">
        <f t="shared" si="17"/>
        <v>sa-15-10</v>
      </c>
      <c r="C1130" t="s">
        <v>324</v>
      </c>
      <c r="D1130" t="s">
        <v>52</v>
      </c>
      <c r="E1130">
        <v>4</v>
      </c>
      <c r="F1130" s="6">
        <f>VLOOKUP(D1130,Products!A$2:C$101,3,FALSE)*E1130</f>
        <v>132</v>
      </c>
      <c r="G1130" t="s">
        <v>407</v>
      </c>
    </row>
    <row r="1131" spans="1:7" x14ac:dyDescent="0.25">
      <c r="A1131" s="3">
        <v>44467</v>
      </c>
      <c r="B1131" s="2" t="str">
        <f t="shared" si="17"/>
        <v>sa-28-9</v>
      </c>
      <c r="C1131" t="s">
        <v>313</v>
      </c>
      <c r="D1131" t="s">
        <v>44</v>
      </c>
      <c r="E1131">
        <v>6</v>
      </c>
      <c r="F1131" s="6">
        <f>VLOOKUP(D1131,Products!A$2:C$101,3,FALSE)*E1131</f>
        <v>186</v>
      </c>
      <c r="G1131" t="s">
        <v>401</v>
      </c>
    </row>
    <row r="1132" spans="1:7" x14ac:dyDescent="0.25">
      <c r="A1132" s="3">
        <v>43939</v>
      </c>
      <c r="B1132" s="2" t="str">
        <f t="shared" si="17"/>
        <v>sa-18-4</v>
      </c>
      <c r="C1132" t="s">
        <v>343</v>
      </c>
      <c r="D1132" t="s">
        <v>94</v>
      </c>
      <c r="E1132">
        <v>6</v>
      </c>
      <c r="F1132" s="6">
        <f>VLOOKUP(D1132,Products!A$2:C$101,3,FALSE)*E1132</f>
        <v>114</v>
      </c>
      <c r="G1132" t="s">
        <v>405</v>
      </c>
    </row>
    <row r="1133" spans="1:7" x14ac:dyDescent="0.25">
      <c r="A1133" s="3">
        <v>44335</v>
      </c>
      <c r="B1133" s="2" t="str">
        <f t="shared" si="17"/>
        <v>sa-19-5</v>
      </c>
      <c r="C1133" t="s">
        <v>352</v>
      </c>
      <c r="D1133" t="s">
        <v>51</v>
      </c>
      <c r="E1133">
        <v>4</v>
      </c>
      <c r="F1133" s="6">
        <f>VLOOKUP(D1133,Products!A$2:C$101,3,FALSE)*E1133</f>
        <v>124</v>
      </c>
      <c r="G1133" t="s">
        <v>400</v>
      </c>
    </row>
    <row r="1134" spans="1:7" x14ac:dyDescent="0.25">
      <c r="A1134" s="3">
        <v>44116</v>
      </c>
      <c r="B1134" s="2" t="str">
        <f t="shared" si="17"/>
        <v>sa-12-10</v>
      </c>
      <c r="C1134" t="s">
        <v>353</v>
      </c>
      <c r="D1134" t="s">
        <v>62</v>
      </c>
      <c r="E1134">
        <v>4</v>
      </c>
      <c r="F1134" s="6">
        <f>VLOOKUP(D1134,Products!A$2:C$101,3,FALSE)*E1134</f>
        <v>128</v>
      </c>
      <c r="G1134" t="s">
        <v>403</v>
      </c>
    </row>
    <row r="1135" spans="1:7" x14ac:dyDescent="0.25">
      <c r="A1135" s="3">
        <v>44512</v>
      </c>
      <c r="B1135" s="2" t="str">
        <f t="shared" si="17"/>
        <v>sa-12-11</v>
      </c>
      <c r="C1135" t="s">
        <v>326</v>
      </c>
      <c r="D1135" t="s">
        <v>51</v>
      </c>
      <c r="E1135">
        <v>2</v>
      </c>
      <c r="F1135" s="6">
        <f>VLOOKUP(D1135,Products!A$2:C$101,3,FALSE)*E1135</f>
        <v>62</v>
      </c>
      <c r="G1135" t="s">
        <v>396</v>
      </c>
    </row>
    <row r="1136" spans="1:7" x14ac:dyDescent="0.25">
      <c r="A1136" s="3">
        <v>44491</v>
      </c>
      <c r="B1136" s="2" t="str">
        <f t="shared" si="17"/>
        <v>sa-22-10</v>
      </c>
      <c r="C1136" t="s">
        <v>345</v>
      </c>
      <c r="D1136" t="s">
        <v>35</v>
      </c>
      <c r="E1136">
        <v>6</v>
      </c>
      <c r="F1136" s="6">
        <f>VLOOKUP(D1136,Products!A$2:C$101,3,FALSE)*E1136</f>
        <v>180</v>
      </c>
      <c r="G1136" t="s">
        <v>405</v>
      </c>
    </row>
    <row r="1137" spans="1:7" x14ac:dyDescent="0.25">
      <c r="A1137" s="3">
        <v>44109</v>
      </c>
      <c r="B1137" s="2" t="str">
        <f t="shared" si="17"/>
        <v>sa-5-10</v>
      </c>
      <c r="C1137" t="s">
        <v>332</v>
      </c>
      <c r="D1137" t="s">
        <v>41</v>
      </c>
      <c r="E1137">
        <v>3</v>
      </c>
      <c r="F1137" s="6">
        <f>VLOOKUP(D1137,Products!A$2:C$101,3,FALSE)*E1137</f>
        <v>99</v>
      </c>
      <c r="G1137" t="s">
        <v>397</v>
      </c>
    </row>
    <row r="1138" spans="1:7" x14ac:dyDescent="0.25">
      <c r="A1138" s="3">
        <v>43940</v>
      </c>
      <c r="B1138" s="2" t="str">
        <f t="shared" si="17"/>
        <v>sa-19-4</v>
      </c>
      <c r="C1138" t="s">
        <v>346</v>
      </c>
      <c r="D1138" t="s">
        <v>6</v>
      </c>
      <c r="E1138">
        <v>4</v>
      </c>
      <c r="F1138" s="6">
        <f>VLOOKUP(D1138,Products!A$2:C$101,3,FALSE)*E1138</f>
        <v>276</v>
      </c>
      <c r="G1138" t="s">
        <v>406</v>
      </c>
    </row>
    <row r="1139" spans="1:7" x14ac:dyDescent="0.25">
      <c r="A1139" s="3">
        <v>44114</v>
      </c>
      <c r="B1139" s="2" t="str">
        <f t="shared" si="17"/>
        <v>sa-10-10</v>
      </c>
      <c r="C1139" t="s">
        <v>335</v>
      </c>
      <c r="D1139" t="s">
        <v>77</v>
      </c>
      <c r="E1139">
        <v>6</v>
      </c>
      <c r="F1139" s="6">
        <f>VLOOKUP(D1139,Products!A$2:C$101,3,FALSE)*E1139</f>
        <v>204</v>
      </c>
      <c r="G1139" t="s">
        <v>396</v>
      </c>
    </row>
    <row r="1140" spans="1:7" x14ac:dyDescent="0.25">
      <c r="A1140" s="3">
        <v>44717</v>
      </c>
      <c r="B1140" s="2" t="str">
        <f t="shared" si="17"/>
        <v>sa-5-6</v>
      </c>
      <c r="C1140" t="s">
        <v>315</v>
      </c>
      <c r="D1140" t="s">
        <v>9</v>
      </c>
      <c r="E1140">
        <v>3</v>
      </c>
      <c r="F1140" s="6">
        <f>VLOOKUP(D1140,Products!A$2:C$101,3,FALSE)*E1140</f>
        <v>240</v>
      </c>
      <c r="G1140" t="s">
        <v>402</v>
      </c>
    </row>
    <row r="1141" spans="1:7" x14ac:dyDescent="0.25">
      <c r="A1141" s="3">
        <v>43956</v>
      </c>
      <c r="B1141" s="2" t="str">
        <f t="shared" si="17"/>
        <v>sa-5-5</v>
      </c>
      <c r="C1141" t="s">
        <v>316</v>
      </c>
      <c r="D1141" t="s">
        <v>19</v>
      </c>
      <c r="E1141">
        <v>3</v>
      </c>
      <c r="F1141" s="6">
        <f>VLOOKUP(D1141,Products!A$2:C$101,3,FALSE)*E1141</f>
        <v>99</v>
      </c>
      <c r="G1141" t="s">
        <v>400</v>
      </c>
    </row>
    <row r="1142" spans="1:7" x14ac:dyDescent="0.25">
      <c r="A1142" s="3">
        <v>44187</v>
      </c>
      <c r="B1142" s="2" t="str">
        <f t="shared" si="17"/>
        <v>sa-22-12</v>
      </c>
      <c r="C1142" t="s">
        <v>350</v>
      </c>
      <c r="D1142" t="s">
        <v>64</v>
      </c>
      <c r="E1142">
        <v>5</v>
      </c>
      <c r="F1142" s="6">
        <f>VLOOKUP(D1142,Products!A$2:C$101,3,FALSE)*E1142</f>
        <v>175</v>
      </c>
      <c r="G1142" t="s">
        <v>395</v>
      </c>
    </row>
    <row r="1143" spans="1:7" x14ac:dyDescent="0.25">
      <c r="A1143" s="3">
        <v>44647</v>
      </c>
      <c r="B1143" s="2" t="str">
        <f t="shared" si="17"/>
        <v>sa-27-3</v>
      </c>
      <c r="C1143" t="s">
        <v>323</v>
      </c>
      <c r="D1143" t="s">
        <v>22</v>
      </c>
      <c r="E1143">
        <v>6</v>
      </c>
      <c r="F1143" s="6">
        <f>VLOOKUP(D1143,Products!A$2:C$101,3,FALSE)*E1143</f>
        <v>204</v>
      </c>
      <c r="G1143" t="s">
        <v>398</v>
      </c>
    </row>
    <row r="1144" spans="1:7" x14ac:dyDescent="0.25">
      <c r="A1144" s="3">
        <v>44716</v>
      </c>
      <c r="B1144" s="2" t="str">
        <f t="shared" si="17"/>
        <v>sa-4-6</v>
      </c>
      <c r="C1144" t="s">
        <v>333</v>
      </c>
      <c r="D1144" t="s">
        <v>37</v>
      </c>
      <c r="E1144">
        <v>5</v>
      </c>
      <c r="F1144" s="6">
        <f>VLOOKUP(D1144,Products!A$2:C$101,3,FALSE)*E1144</f>
        <v>165</v>
      </c>
      <c r="G1144" t="s">
        <v>408</v>
      </c>
    </row>
    <row r="1145" spans="1:7" x14ac:dyDescent="0.25">
      <c r="A1145" s="3">
        <v>44714</v>
      </c>
      <c r="B1145" s="2" t="str">
        <f t="shared" si="17"/>
        <v>sa-2-6</v>
      </c>
      <c r="C1145" t="s">
        <v>325</v>
      </c>
      <c r="D1145" t="s">
        <v>59</v>
      </c>
      <c r="E1145">
        <v>2</v>
      </c>
      <c r="F1145" s="6">
        <f>VLOOKUP(D1145,Products!A$2:C$101,3,FALSE)*E1145</f>
        <v>70</v>
      </c>
      <c r="G1145" t="s">
        <v>401</v>
      </c>
    </row>
    <row r="1146" spans="1:7" x14ac:dyDescent="0.25">
      <c r="A1146" s="3">
        <v>44321</v>
      </c>
      <c r="B1146" s="2" t="str">
        <f t="shared" si="17"/>
        <v>sa-5-5</v>
      </c>
      <c r="C1146" t="s">
        <v>341</v>
      </c>
      <c r="D1146" t="s">
        <v>20</v>
      </c>
      <c r="E1146">
        <v>3</v>
      </c>
      <c r="F1146" s="6">
        <f>VLOOKUP(D1146,Products!A$2:C$101,3,FALSE)*E1146</f>
        <v>99</v>
      </c>
      <c r="G1146" t="s">
        <v>402</v>
      </c>
    </row>
    <row r="1147" spans="1:7" x14ac:dyDescent="0.25">
      <c r="A1147" s="3">
        <v>43832</v>
      </c>
      <c r="B1147" s="2" t="str">
        <f t="shared" si="17"/>
        <v>sa-2-1</v>
      </c>
      <c r="C1147" t="s">
        <v>348</v>
      </c>
      <c r="D1147" t="s">
        <v>6</v>
      </c>
      <c r="E1147">
        <v>6</v>
      </c>
      <c r="F1147" s="6">
        <f>VLOOKUP(D1147,Products!A$2:C$101,3,FALSE)*E1147</f>
        <v>414</v>
      </c>
      <c r="G1147" t="s">
        <v>398</v>
      </c>
    </row>
    <row r="1148" spans="1:7" x14ac:dyDescent="0.25">
      <c r="A1148" s="3">
        <v>44150</v>
      </c>
      <c r="B1148" s="2" t="str">
        <f t="shared" si="17"/>
        <v>sa-15-11</v>
      </c>
      <c r="C1148" t="s">
        <v>315</v>
      </c>
      <c r="D1148" t="s">
        <v>30</v>
      </c>
      <c r="E1148">
        <v>2</v>
      </c>
      <c r="F1148" s="6">
        <f>VLOOKUP(D1148,Products!A$2:C$101,3,FALSE)*E1148</f>
        <v>70</v>
      </c>
      <c r="G1148" t="s">
        <v>405</v>
      </c>
    </row>
    <row r="1149" spans="1:7" x14ac:dyDescent="0.25">
      <c r="A1149" s="3">
        <v>44289</v>
      </c>
      <c r="B1149" s="2" t="str">
        <f t="shared" si="17"/>
        <v>sa-3-4</v>
      </c>
      <c r="C1149" t="s">
        <v>311</v>
      </c>
      <c r="D1149" t="s">
        <v>50</v>
      </c>
      <c r="E1149">
        <v>4</v>
      </c>
      <c r="F1149" s="6">
        <f>VLOOKUP(D1149,Products!A$2:C$101,3,FALSE)*E1149</f>
        <v>128</v>
      </c>
      <c r="G1149" t="s">
        <v>404</v>
      </c>
    </row>
    <row r="1150" spans="1:7" x14ac:dyDescent="0.25">
      <c r="A1150" s="3">
        <v>44171</v>
      </c>
      <c r="B1150" s="2" t="str">
        <f t="shared" si="17"/>
        <v>sa-6-12</v>
      </c>
      <c r="C1150" t="s">
        <v>351</v>
      </c>
      <c r="D1150" t="s">
        <v>38</v>
      </c>
      <c r="E1150">
        <v>4</v>
      </c>
      <c r="F1150" s="6">
        <f>VLOOKUP(D1150,Products!A$2:C$101,3,FALSE)*E1150</f>
        <v>128</v>
      </c>
      <c r="G1150" t="s">
        <v>404</v>
      </c>
    </row>
    <row r="1151" spans="1:7" x14ac:dyDescent="0.25">
      <c r="A1151" s="3">
        <v>44535</v>
      </c>
      <c r="B1151" s="2" t="str">
        <f t="shared" si="17"/>
        <v>sa-5-12</v>
      </c>
      <c r="C1151" t="s">
        <v>344</v>
      </c>
      <c r="D1151" t="s">
        <v>14</v>
      </c>
      <c r="E1151">
        <v>3</v>
      </c>
      <c r="F1151" s="6">
        <f>VLOOKUP(D1151,Products!A$2:C$101,3,FALSE)*E1151</f>
        <v>237</v>
      </c>
      <c r="G1151" t="s">
        <v>400</v>
      </c>
    </row>
    <row r="1152" spans="1:7" x14ac:dyDescent="0.25">
      <c r="A1152" s="3">
        <v>44121</v>
      </c>
      <c r="B1152" s="2" t="str">
        <f t="shared" si="17"/>
        <v>sa-17-10</v>
      </c>
      <c r="C1152" t="s">
        <v>327</v>
      </c>
      <c r="D1152" t="s">
        <v>24</v>
      </c>
      <c r="E1152">
        <v>5</v>
      </c>
      <c r="F1152" s="6">
        <f>VLOOKUP(D1152,Products!A$2:C$101,3,FALSE)*E1152</f>
        <v>165</v>
      </c>
      <c r="G1152" t="s">
        <v>405</v>
      </c>
    </row>
    <row r="1153" spans="1:7" x14ac:dyDescent="0.25">
      <c r="A1153" s="3">
        <v>44718</v>
      </c>
      <c r="B1153" s="2" t="str">
        <f t="shared" si="17"/>
        <v>sa-6-6</v>
      </c>
      <c r="C1153" t="s">
        <v>332</v>
      </c>
      <c r="D1153" t="s">
        <v>36</v>
      </c>
      <c r="E1153">
        <v>3</v>
      </c>
      <c r="F1153" s="6">
        <f>VLOOKUP(D1153,Products!A$2:C$101,3,FALSE)*E1153</f>
        <v>102</v>
      </c>
      <c r="G1153" t="s">
        <v>399</v>
      </c>
    </row>
    <row r="1154" spans="1:7" x14ac:dyDescent="0.25">
      <c r="A1154" s="3">
        <v>44566</v>
      </c>
      <c r="B1154" s="2" t="str">
        <f t="shared" si="17"/>
        <v>sa-5-1</v>
      </c>
      <c r="C1154" t="s">
        <v>338</v>
      </c>
      <c r="D1154" t="s">
        <v>67</v>
      </c>
      <c r="E1154">
        <v>2</v>
      </c>
      <c r="F1154" s="6">
        <f>VLOOKUP(D1154,Products!A$2:C$101,3,FALSE)*E1154</f>
        <v>64</v>
      </c>
      <c r="G1154" t="s">
        <v>400</v>
      </c>
    </row>
    <row r="1155" spans="1:7" x14ac:dyDescent="0.25">
      <c r="A1155" s="3">
        <v>44626</v>
      </c>
      <c r="B1155" s="2" t="str">
        <f t="shared" ref="B1155:B1218" si="18">"sa-"&amp;DAY(A1155)&amp;"-"&amp;MONTH(A1155)</f>
        <v>sa-6-3</v>
      </c>
      <c r="C1155" t="s">
        <v>351</v>
      </c>
      <c r="D1155" t="s">
        <v>5</v>
      </c>
      <c r="E1155">
        <v>4</v>
      </c>
      <c r="F1155" s="6">
        <f>VLOOKUP(D1155,Products!A$2:C$101,3,FALSE)*E1155</f>
        <v>320</v>
      </c>
      <c r="G1155" t="s">
        <v>395</v>
      </c>
    </row>
    <row r="1156" spans="1:7" x14ac:dyDescent="0.25">
      <c r="A1156" s="3">
        <v>44654</v>
      </c>
      <c r="B1156" s="2" t="str">
        <f t="shared" si="18"/>
        <v>sa-3-4</v>
      </c>
      <c r="C1156" t="s">
        <v>322</v>
      </c>
      <c r="D1156" t="s">
        <v>84</v>
      </c>
      <c r="E1156">
        <v>5</v>
      </c>
      <c r="F1156" s="6">
        <f>VLOOKUP(D1156,Products!A$2:C$101,3,FALSE)*E1156</f>
        <v>175</v>
      </c>
      <c r="G1156" t="s">
        <v>398</v>
      </c>
    </row>
    <row r="1157" spans="1:7" x14ac:dyDescent="0.25">
      <c r="A1157" s="3">
        <v>44670</v>
      </c>
      <c r="B1157" s="2" t="str">
        <f t="shared" si="18"/>
        <v>sa-19-4</v>
      </c>
      <c r="C1157" t="s">
        <v>307</v>
      </c>
      <c r="D1157" t="s">
        <v>34</v>
      </c>
      <c r="E1157">
        <v>5</v>
      </c>
      <c r="F1157" s="6">
        <f>VLOOKUP(D1157,Products!A$2:C$101,3,FALSE)*E1157</f>
        <v>175</v>
      </c>
      <c r="G1157" t="s">
        <v>404</v>
      </c>
    </row>
    <row r="1158" spans="1:7" x14ac:dyDescent="0.25">
      <c r="A1158" s="3">
        <v>44525</v>
      </c>
      <c r="B1158" s="2" t="str">
        <f t="shared" si="18"/>
        <v>sa-25-11</v>
      </c>
      <c r="C1158" t="s">
        <v>315</v>
      </c>
      <c r="D1158" t="s">
        <v>100</v>
      </c>
      <c r="E1158">
        <v>6</v>
      </c>
      <c r="F1158" s="6">
        <f>VLOOKUP(D1158,Products!A$2:C$101,3,FALSE)*E1158</f>
        <v>90</v>
      </c>
      <c r="G1158" t="s">
        <v>395</v>
      </c>
    </row>
    <row r="1159" spans="1:7" x14ac:dyDescent="0.25">
      <c r="A1159" s="3">
        <v>44521</v>
      </c>
      <c r="B1159" s="2" t="str">
        <f t="shared" si="18"/>
        <v>sa-21-11</v>
      </c>
      <c r="C1159" t="s">
        <v>321</v>
      </c>
      <c r="D1159" t="s">
        <v>92</v>
      </c>
      <c r="E1159">
        <v>3</v>
      </c>
      <c r="F1159" s="6">
        <f>VLOOKUP(D1159,Products!A$2:C$101,3,FALSE)*E1159</f>
        <v>42</v>
      </c>
      <c r="G1159" t="s">
        <v>397</v>
      </c>
    </row>
    <row r="1160" spans="1:7" x14ac:dyDescent="0.25">
      <c r="A1160" s="3">
        <v>44546</v>
      </c>
      <c r="B1160" s="2" t="str">
        <f t="shared" si="18"/>
        <v>sa-16-12</v>
      </c>
      <c r="C1160" t="s">
        <v>315</v>
      </c>
      <c r="D1160" t="s">
        <v>4</v>
      </c>
      <c r="E1160">
        <v>3</v>
      </c>
      <c r="F1160" s="6">
        <f>VLOOKUP(D1160,Products!A$2:C$101,3,FALSE)*E1160</f>
        <v>213</v>
      </c>
      <c r="G1160" t="s">
        <v>397</v>
      </c>
    </row>
    <row r="1161" spans="1:7" x14ac:dyDescent="0.25">
      <c r="A1161" s="3">
        <v>44036</v>
      </c>
      <c r="B1161" s="2" t="str">
        <f t="shared" si="18"/>
        <v>sa-24-7</v>
      </c>
      <c r="C1161" t="s">
        <v>352</v>
      </c>
      <c r="D1161" t="s">
        <v>85</v>
      </c>
      <c r="E1161">
        <v>4</v>
      </c>
      <c r="F1161" s="6">
        <f>VLOOKUP(D1161,Products!A$2:C$101,3,FALSE)*E1161</f>
        <v>132</v>
      </c>
      <c r="G1161" t="s">
        <v>403</v>
      </c>
    </row>
    <row r="1162" spans="1:7" x14ac:dyDescent="0.25">
      <c r="A1162" s="3">
        <v>44349</v>
      </c>
      <c r="B1162" s="2" t="str">
        <f t="shared" si="18"/>
        <v>sa-2-6</v>
      </c>
      <c r="C1162" t="s">
        <v>327</v>
      </c>
      <c r="D1162" t="s">
        <v>2</v>
      </c>
      <c r="E1162">
        <v>3</v>
      </c>
      <c r="F1162" s="6">
        <f>VLOOKUP(D1162,Products!A$2:C$101,3,FALSE)*E1162</f>
        <v>198</v>
      </c>
      <c r="G1162" t="s">
        <v>404</v>
      </c>
    </row>
    <row r="1163" spans="1:7" x14ac:dyDescent="0.25">
      <c r="A1163" s="3">
        <v>44281</v>
      </c>
      <c r="B1163" s="2" t="str">
        <f t="shared" si="18"/>
        <v>sa-26-3</v>
      </c>
      <c r="C1163" t="s">
        <v>350</v>
      </c>
      <c r="D1163" t="s">
        <v>101</v>
      </c>
      <c r="E1163">
        <v>2</v>
      </c>
      <c r="F1163" s="6">
        <f>VLOOKUP(D1163,Products!A$2:C$101,3,FALSE)*E1163</f>
        <v>20</v>
      </c>
      <c r="G1163" t="s">
        <v>404</v>
      </c>
    </row>
    <row r="1164" spans="1:7" x14ac:dyDescent="0.25">
      <c r="A1164" s="3">
        <v>43969</v>
      </c>
      <c r="B1164" s="2" t="str">
        <f t="shared" si="18"/>
        <v>sa-18-5</v>
      </c>
      <c r="C1164" t="s">
        <v>349</v>
      </c>
      <c r="D1164" t="s">
        <v>67</v>
      </c>
      <c r="E1164">
        <v>5</v>
      </c>
      <c r="F1164" s="6">
        <f>VLOOKUP(D1164,Products!A$2:C$101,3,FALSE)*E1164</f>
        <v>160</v>
      </c>
      <c r="G1164" t="s">
        <v>398</v>
      </c>
    </row>
    <row r="1165" spans="1:7" x14ac:dyDescent="0.25">
      <c r="A1165" s="3">
        <v>44714</v>
      </c>
      <c r="B1165" s="2" t="str">
        <f t="shared" si="18"/>
        <v>sa-2-6</v>
      </c>
      <c r="C1165" t="s">
        <v>318</v>
      </c>
      <c r="D1165" t="s">
        <v>99</v>
      </c>
      <c r="E1165">
        <v>6</v>
      </c>
      <c r="F1165" s="6">
        <f>VLOOKUP(D1165,Products!A$2:C$101,3,FALSE)*E1165</f>
        <v>90</v>
      </c>
      <c r="G1165" t="s">
        <v>397</v>
      </c>
    </row>
    <row r="1166" spans="1:7" x14ac:dyDescent="0.25">
      <c r="A1166" s="3">
        <v>44317</v>
      </c>
      <c r="B1166" s="2" t="str">
        <f t="shared" si="18"/>
        <v>sa-1-5</v>
      </c>
      <c r="C1166" t="s">
        <v>330</v>
      </c>
      <c r="D1166" t="s">
        <v>48</v>
      </c>
      <c r="E1166">
        <v>4</v>
      </c>
      <c r="F1166" s="6">
        <f>VLOOKUP(D1166,Products!A$2:C$101,3,FALSE)*E1166</f>
        <v>132</v>
      </c>
      <c r="G1166" t="s">
        <v>395</v>
      </c>
    </row>
    <row r="1167" spans="1:7" x14ac:dyDescent="0.25">
      <c r="A1167" s="3">
        <v>43911</v>
      </c>
      <c r="B1167" s="2" t="str">
        <f t="shared" si="18"/>
        <v>sa-21-3</v>
      </c>
      <c r="C1167" t="s">
        <v>322</v>
      </c>
      <c r="D1167" t="s">
        <v>28</v>
      </c>
      <c r="E1167">
        <v>4</v>
      </c>
      <c r="F1167" s="6">
        <f>VLOOKUP(D1167,Products!A$2:C$101,3,FALSE)*E1167</f>
        <v>120</v>
      </c>
      <c r="G1167" t="s">
        <v>405</v>
      </c>
    </row>
    <row r="1168" spans="1:7" x14ac:dyDescent="0.25">
      <c r="A1168" s="3">
        <v>43914</v>
      </c>
      <c r="B1168" s="2" t="str">
        <f t="shared" si="18"/>
        <v>sa-24-3</v>
      </c>
      <c r="C1168" t="s">
        <v>339</v>
      </c>
      <c r="D1168" t="s">
        <v>11</v>
      </c>
      <c r="E1168">
        <v>3</v>
      </c>
      <c r="F1168" s="6">
        <f>VLOOKUP(D1168,Products!A$2:C$101,3,FALSE)*E1168</f>
        <v>234</v>
      </c>
      <c r="G1168" t="s">
        <v>403</v>
      </c>
    </row>
    <row r="1169" spans="1:7" x14ac:dyDescent="0.25">
      <c r="A1169" s="3">
        <v>44513</v>
      </c>
      <c r="B1169" s="2" t="str">
        <f t="shared" si="18"/>
        <v>sa-13-11</v>
      </c>
      <c r="C1169" t="s">
        <v>331</v>
      </c>
      <c r="D1169" t="s">
        <v>32</v>
      </c>
      <c r="E1169">
        <v>5</v>
      </c>
      <c r="F1169" s="6">
        <f>VLOOKUP(D1169,Products!A$2:C$101,3,FALSE)*E1169</f>
        <v>170</v>
      </c>
      <c r="G1169" t="s">
        <v>400</v>
      </c>
    </row>
    <row r="1170" spans="1:7" x14ac:dyDescent="0.25">
      <c r="A1170" s="3">
        <v>44598</v>
      </c>
      <c r="B1170" s="2" t="str">
        <f t="shared" si="18"/>
        <v>sa-6-2</v>
      </c>
      <c r="C1170" t="s">
        <v>355</v>
      </c>
      <c r="D1170" t="s">
        <v>30</v>
      </c>
      <c r="E1170">
        <v>5</v>
      </c>
      <c r="F1170" s="6">
        <f>VLOOKUP(D1170,Products!A$2:C$101,3,FALSE)*E1170</f>
        <v>175</v>
      </c>
      <c r="G1170" t="s">
        <v>406</v>
      </c>
    </row>
    <row r="1171" spans="1:7" x14ac:dyDescent="0.25">
      <c r="A1171" s="3">
        <v>44144</v>
      </c>
      <c r="B1171" s="2" t="str">
        <f t="shared" si="18"/>
        <v>sa-9-11</v>
      </c>
      <c r="C1171" t="s">
        <v>331</v>
      </c>
      <c r="D1171" t="s">
        <v>90</v>
      </c>
      <c r="E1171">
        <v>3</v>
      </c>
      <c r="F1171" s="6">
        <f>VLOOKUP(D1171,Products!A$2:C$101,3,FALSE)*E1171</f>
        <v>30</v>
      </c>
      <c r="G1171" t="s">
        <v>403</v>
      </c>
    </row>
    <row r="1172" spans="1:7" x14ac:dyDescent="0.25">
      <c r="A1172" s="3">
        <v>43906</v>
      </c>
      <c r="B1172" s="2" t="str">
        <f t="shared" si="18"/>
        <v>sa-16-3</v>
      </c>
      <c r="C1172" t="s">
        <v>352</v>
      </c>
      <c r="D1172" t="s">
        <v>94</v>
      </c>
      <c r="E1172">
        <v>6</v>
      </c>
      <c r="F1172" s="6">
        <f>VLOOKUP(D1172,Products!A$2:C$101,3,FALSE)*E1172</f>
        <v>114</v>
      </c>
      <c r="G1172" t="s">
        <v>403</v>
      </c>
    </row>
    <row r="1173" spans="1:7" x14ac:dyDescent="0.25">
      <c r="A1173" s="3">
        <v>43941</v>
      </c>
      <c r="B1173" s="2" t="str">
        <f t="shared" si="18"/>
        <v>sa-20-4</v>
      </c>
      <c r="C1173" t="s">
        <v>348</v>
      </c>
      <c r="D1173" t="s">
        <v>31</v>
      </c>
      <c r="E1173">
        <v>4</v>
      </c>
      <c r="F1173" s="6">
        <f>VLOOKUP(D1173,Products!A$2:C$101,3,FALSE)*E1173</f>
        <v>128</v>
      </c>
      <c r="G1173" t="s">
        <v>406</v>
      </c>
    </row>
    <row r="1174" spans="1:7" x14ac:dyDescent="0.25">
      <c r="A1174" s="3">
        <v>44373</v>
      </c>
      <c r="B1174" s="2" t="str">
        <f t="shared" si="18"/>
        <v>sa-26-6</v>
      </c>
      <c r="C1174" t="s">
        <v>339</v>
      </c>
      <c r="D1174" t="s">
        <v>79</v>
      </c>
      <c r="E1174">
        <v>2</v>
      </c>
      <c r="F1174" s="6">
        <f>VLOOKUP(D1174,Products!A$2:C$101,3,FALSE)*E1174</f>
        <v>68</v>
      </c>
      <c r="G1174" t="s">
        <v>405</v>
      </c>
    </row>
    <row r="1175" spans="1:7" x14ac:dyDescent="0.25">
      <c r="A1175" s="3">
        <v>44054</v>
      </c>
      <c r="B1175" s="2" t="str">
        <f t="shared" si="18"/>
        <v>sa-11-8</v>
      </c>
      <c r="C1175" t="s">
        <v>345</v>
      </c>
      <c r="D1175" t="s">
        <v>86</v>
      </c>
      <c r="E1175">
        <v>2</v>
      </c>
      <c r="F1175" s="6">
        <f>VLOOKUP(D1175,Products!A$2:C$101,3,FALSE)*E1175</f>
        <v>68</v>
      </c>
      <c r="G1175" t="s">
        <v>406</v>
      </c>
    </row>
    <row r="1176" spans="1:7" x14ac:dyDescent="0.25">
      <c r="A1176" s="3">
        <v>44274</v>
      </c>
      <c r="B1176" s="2" t="str">
        <f t="shared" si="18"/>
        <v>sa-19-3</v>
      </c>
      <c r="C1176" t="s">
        <v>344</v>
      </c>
      <c r="D1176" t="s">
        <v>5</v>
      </c>
      <c r="E1176">
        <v>2</v>
      </c>
      <c r="F1176" s="6">
        <f>VLOOKUP(D1176,Products!A$2:C$101,3,FALSE)*E1176</f>
        <v>160</v>
      </c>
      <c r="G1176" t="s">
        <v>398</v>
      </c>
    </row>
    <row r="1177" spans="1:7" x14ac:dyDescent="0.25">
      <c r="A1177" s="3">
        <v>44652</v>
      </c>
      <c r="B1177" s="2" t="str">
        <f t="shared" si="18"/>
        <v>sa-1-4</v>
      </c>
      <c r="C1177" t="s">
        <v>321</v>
      </c>
      <c r="D1177" t="s">
        <v>70</v>
      </c>
      <c r="E1177">
        <v>5</v>
      </c>
      <c r="F1177" s="6">
        <f>VLOOKUP(D1177,Products!A$2:C$101,3,FALSE)*E1177</f>
        <v>175</v>
      </c>
      <c r="G1177" t="s">
        <v>406</v>
      </c>
    </row>
    <row r="1178" spans="1:7" x14ac:dyDescent="0.25">
      <c r="A1178" s="3">
        <v>44110</v>
      </c>
      <c r="B1178" s="2" t="str">
        <f t="shared" si="18"/>
        <v>sa-6-10</v>
      </c>
      <c r="C1178" t="s">
        <v>343</v>
      </c>
      <c r="D1178" t="s">
        <v>80</v>
      </c>
      <c r="E1178">
        <v>5</v>
      </c>
      <c r="F1178" s="6">
        <f>VLOOKUP(D1178,Products!A$2:C$101,3,FALSE)*E1178</f>
        <v>155</v>
      </c>
      <c r="G1178" t="s">
        <v>397</v>
      </c>
    </row>
    <row r="1179" spans="1:7" x14ac:dyDescent="0.25">
      <c r="A1179" s="3">
        <v>44399</v>
      </c>
      <c r="B1179" s="2" t="str">
        <f t="shared" si="18"/>
        <v>sa-22-7</v>
      </c>
      <c r="C1179" t="s">
        <v>311</v>
      </c>
      <c r="D1179" t="s">
        <v>44</v>
      </c>
      <c r="E1179">
        <v>5</v>
      </c>
      <c r="F1179" s="6">
        <f>VLOOKUP(D1179,Products!A$2:C$101,3,FALSE)*E1179</f>
        <v>155</v>
      </c>
      <c r="G1179" t="s">
        <v>399</v>
      </c>
    </row>
    <row r="1180" spans="1:7" x14ac:dyDescent="0.25">
      <c r="A1180" s="3">
        <v>44602</v>
      </c>
      <c r="B1180" s="2" t="str">
        <f t="shared" si="18"/>
        <v>sa-10-2</v>
      </c>
      <c r="C1180" t="s">
        <v>340</v>
      </c>
      <c r="D1180" t="s">
        <v>95</v>
      </c>
      <c r="E1180">
        <v>3</v>
      </c>
      <c r="F1180" s="6">
        <f>VLOOKUP(D1180,Products!A$2:C$101,3,FALSE)*E1180</f>
        <v>36</v>
      </c>
      <c r="G1180" t="s">
        <v>407</v>
      </c>
    </row>
    <row r="1181" spans="1:7" x14ac:dyDescent="0.25">
      <c r="A1181" s="3">
        <v>44589</v>
      </c>
      <c r="B1181" s="2" t="str">
        <f t="shared" si="18"/>
        <v>sa-28-1</v>
      </c>
      <c r="C1181" t="s">
        <v>311</v>
      </c>
      <c r="D1181" t="s">
        <v>38</v>
      </c>
      <c r="E1181">
        <v>2</v>
      </c>
      <c r="F1181" s="6">
        <f>VLOOKUP(D1181,Products!A$2:C$101,3,FALSE)*E1181</f>
        <v>64</v>
      </c>
      <c r="G1181" t="s">
        <v>404</v>
      </c>
    </row>
    <row r="1182" spans="1:7" x14ac:dyDescent="0.25">
      <c r="A1182" s="3">
        <v>44138</v>
      </c>
      <c r="B1182" s="2" t="str">
        <f t="shared" si="18"/>
        <v>sa-3-11</v>
      </c>
      <c r="C1182" t="s">
        <v>316</v>
      </c>
      <c r="D1182" t="s">
        <v>70</v>
      </c>
      <c r="E1182">
        <v>4</v>
      </c>
      <c r="F1182" s="6">
        <f>VLOOKUP(D1182,Products!A$2:C$101,3,FALSE)*E1182</f>
        <v>140</v>
      </c>
      <c r="G1182" t="s">
        <v>405</v>
      </c>
    </row>
    <row r="1183" spans="1:7" x14ac:dyDescent="0.25">
      <c r="A1183" s="3">
        <v>44217</v>
      </c>
      <c r="B1183" s="2" t="str">
        <f t="shared" si="18"/>
        <v>sa-21-1</v>
      </c>
      <c r="C1183" t="s">
        <v>327</v>
      </c>
      <c r="D1183" t="s">
        <v>80</v>
      </c>
      <c r="E1183">
        <v>2</v>
      </c>
      <c r="F1183" s="6">
        <f>VLOOKUP(D1183,Products!A$2:C$101,3,FALSE)*E1183</f>
        <v>62</v>
      </c>
      <c r="G1183" t="s">
        <v>404</v>
      </c>
    </row>
    <row r="1184" spans="1:7" x14ac:dyDescent="0.25">
      <c r="A1184" s="3">
        <v>44638</v>
      </c>
      <c r="B1184" s="2" t="str">
        <f t="shared" si="18"/>
        <v>sa-18-3</v>
      </c>
      <c r="C1184" t="s">
        <v>309</v>
      </c>
      <c r="D1184" t="s">
        <v>15</v>
      </c>
      <c r="E1184">
        <v>6</v>
      </c>
      <c r="F1184" s="6">
        <f>VLOOKUP(D1184,Products!A$2:C$101,3,FALSE)*E1184</f>
        <v>210</v>
      </c>
      <c r="G1184" t="s">
        <v>400</v>
      </c>
    </row>
    <row r="1185" spans="1:7" x14ac:dyDescent="0.25">
      <c r="A1185" s="3">
        <v>44394</v>
      </c>
      <c r="B1185" s="2" t="str">
        <f t="shared" si="18"/>
        <v>sa-17-7</v>
      </c>
      <c r="C1185" t="s">
        <v>322</v>
      </c>
      <c r="D1185" t="s">
        <v>71</v>
      </c>
      <c r="E1185">
        <v>4</v>
      </c>
      <c r="F1185" s="6">
        <f>VLOOKUP(D1185,Products!A$2:C$101,3,FALSE)*E1185</f>
        <v>136</v>
      </c>
      <c r="G1185" t="s">
        <v>403</v>
      </c>
    </row>
    <row r="1186" spans="1:7" x14ac:dyDescent="0.25">
      <c r="A1186" s="3">
        <v>44624</v>
      </c>
      <c r="B1186" s="2" t="str">
        <f t="shared" si="18"/>
        <v>sa-4-3</v>
      </c>
      <c r="C1186" t="s">
        <v>337</v>
      </c>
      <c r="D1186" t="s">
        <v>30</v>
      </c>
      <c r="E1186">
        <v>6</v>
      </c>
      <c r="F1186" s="6">
        <f>VLOOKUP(D1186,Products!A$2:C$101,3,FALSE)*E1186</f>
        <v>210</v>
      </c>
      <c r="G1186" t="s">
        <v>407</v>
      </c>
    </row>
    <row r="1187" spans="1:7" x14ac:dyDescent="0.25">
      <c r="A1187" s="3">
        <v>44300</v>
      </c>
      <c r="B1187" s="2" t="str">
        <f t="shared" si="18"/>
        <v>sa-14-4</v>
      </c>
      <c r="C1187" t="s">
        <v>350</v>
      </c>
      <c r="D1187" t="s">
        <v>35</v>
      </c>
      <c r="E1187">
        <v>4</v>
      </c>
      <c r="F1187" s="6">
        <f>VLOOKUP(D1187,Products!A$2:C$101,3,FALSE)*E1187</f>
        <v>120</v>
      </c>
      <c r="G1187" t="s">
        <v>401</v>
      </c>
    </row>
    <row r="1188" spans="1:7" x14ac:dyDescent="0.25">
      <c r="A1188" s="3">
        <v>44046</v>
      </c>
      <c r="B1188" s="2" t="str">
        <f t="shared" si="18"/>
        <v>sa-3-8</v>
      </c>
      <c r="C1188" t="s">
        <v>335</v>
      </c>
      <c r="D1188" t="s">
        <v>66</v>
      </c>
      <c r="E1188">
        <v>4</v>
      </c>
      <c r="F1188" s="6">
        <f>VLOOKUP(D1188,Products!A$2:C$101,3,FALSE)*E1188</f>
        <v>120</v>
      </c>
      <c r="G1188" t="s">
        <v>404</v>
      </c>
    </row>
    <row r="1189" spans="1:7" x14ac:dyDescent="0.25">
      <c r="A1189" s="3">
        <v>44706</v>
      </c>
      <c r="B1189" s="2" t="str">
        <f t="shared" si="18"/>
        <v>sa-25-5</v>
      </c>
      <c r="C1189" t="s">
        <v>330</v>
      </c>
      <c r="D1189" t="s">
        <v>87</v>
      </c>
      <c r="E1189">
        <v>3</v>
      </c>
      <c r="F1189" s="6">
        <f>VLOOKUP(D1189,Products!A$2:C$101,3,FALSE)*E1189</f>
        <v>39</v>
      </c>
      <c r="G1189" t="s">
        <v>396</v>
      </c>
    </row>
    <row r="1190" spans="1:7" x14ac:dyDescent="0.25">
      <c r="A1190" s="3">
        <v>44358</v>
      </c>
      <c r="B1190" s="2" t="str">
        <f t="shared" si="18"/>
        <v>sa-11-6</v>
      </c>
      <c r="C1190" t="s">
        <v>310</v>
      </c>
      <c r="D1190" t="s">
        <v>44</v>
      </c>
      <c r="E1190">
        <v>4</v>
      </c>
      <c r="F1190" s="6">
        <f>VLOOKUP(D1190,Products!A$2:C$101,3,FALSE)*E1190</f>
        <v>124</v>
      </c>
      <c r="G1190" t="s">
        <v>405</v>
      </c>
    </row>
    <row r="1191" spans="1:7" x14ac:dyDescent="0.25">
      <c r="A1191" s="3">
        <v>44546</v>
      </c>
      <c r="B1191" s="2" t="str">
        <f t="shared" si="18"/>
        <v>sa-16-12</v>
      </c>
      <c r="C1191" t="s">
        <v>339</v>
      </c>
      <c r="D1191" t="s">
        <v>69</v>
      </c>
      <c r="E1191">
        <v>4</v>
      </c>
      <c r="F1191" s="6">
        <f>VLOOKUP(D1191,Products!A$2:C$101,3,FALSE)*E1191</f>
        <v>120</v>
      </c>
      <c r="G1191" t="s">
        <v>405</v>
      </c>
    </row>
    <row r="1192" spans="1:7" x14ac:dyDescent="0.25">
      <c r="A1192" s="3">
        <v>44504</v>
      </c>
      <c r="B1192" s="2" t="str">
        <f t="shared" si="18"/>
        <v>sa-4-11</v>
      </c>
      <c r="C1192" t="s">
        <v>341</v>
      </c>
      <c r="D1192" t="s">
        <v>30</v>
      </c>
      <c r="E1192">
        <v>6</v>
      </c>
      <c r="F1192" s="6">
        <f>VLOOKUP(D1192,Products!A$2:C$101,3,FALSE)*E1192</f>
        <v>210</v>
      </c>
      <c r="G1192" t="s">
        <v>408</v>
      </c>
    </row>
    <row r="1193" spans="1:7" x14ac:dyDescent="0.25">
      <c r="A1193" s="3">
        <v>44006</v>
      </c>
      <c r="B1193" s="2" t="str">
        <f t="shared" si="18"/>
        <v>sa-24-6</v>
      </c>
      <c r="C1193" t="s">
        <v>351</v>
      </c>
      <c r="D1193" t="s">
        <v>89</v>
      </c>
      <c r="E1193">
        <v>4</v>
      </c>
      <c r="F1193" s="6">
        <f>VLOOKUP(D1193,Products!A$2:C$101,3,FALSE)*E1193</f>
        <v>80</v>
      </c>
      <c r="G1193" t="s">
        <v>399</v>
      </c>
    </row>
    <row r="1194" spans="1:7" x14ac:dyDescent="0.25">
      <c r="A1194" s="3">
        <v>44305</v>
      </c>
      <c r="B1194" s="2" t="str">
        <f t="shared" si="18"/>
        <v>sa-19-4</v>
      </c>
      <c r="C1194" t="s">
        <v>332</v>
      </c>
      <c r="D1194" t="s">
        <v>21</v>
      </c>
      <c r="E1194">
        <v>2</v>
      </c>
      <c r="F1194" s="6">
        <f>VLOOKUP(D1194,Products!A$2:C$101,3,FALSE)*E1194</f>
        <v>66</v>
      </c>
      <c r="G1194" t="s">
        <v>400</v>
      </c>
    </row>
    <row r="1195" spans="1:7" x14ac:dyDescent="0.25">
      <c r="A1195" s="3">
        <v>44320</v>
      </c>
      <c r="B1195" s="2" t="str">
        <f t="shared" si="18"/>
        <v>sa-4-5</v>
      </c>
      <c r="C1195" t="s">
        <v>328</v>
      </c>
      <c r="D1195" t="s">
        <v>45</v>
      </c>
      <c r="E1195">
        <v>6</v>
      </c>
      <c r="F1195" s="6">
        <f>VLOOKUP(D1195,Products!A$2:C$101,3,FALSE)*E1195</f>
        <v>180</v>
      </c>
      <c r="G1195" t="s">
        <v>398</v>
      </c>
    </row>
    <row r="1196" spans="1:7" x14ac:dyDescent="0.25">
      <c r="A1196" s="3">
        <v>44056</v>
      </c>
      <c r="B1196" s="2" t="str">
        <f t="shared" si="18"/>
        <v>sa-13-8</v>
      </c>
      <c r="C1196" t="s">
        <v>316</v>
      </c>
      <c r="D1196" t="s">
        <v>33</v>
      </c>
      <c r="E1196">
        <v>4</v>
      </c>
      <c r="F1196" s="6">
        <f>VLOOKUP(D1196,Products!A$2:C$101,3,FALSE)*E1196</f>
        <v>132</v>
      </c>
      <c r="G1196" t="s">
        <v>405</v>
      </c>
    </row>
    <row r="1197" spans="1:7" x14ac:dyDescent="0.25">
      <c r="A1197" s="3">
        <v>44657</v>
      </c>
      <c r="B1197" s="2" t="str">
        <f t="shared" si="18"/>
        <v>sa-6-4</v>
      </c>
      <c r="C1197" t="s">
        <v>330</v>
      </c>
      <c r="D1197" t="s">
        <v>39</v>
      </c>
      <c r="E1197">
        <v>6</v>
      </c>
      <c r="F1197" s="6">
        <f>VLOOKUP(D1197,Products!A$2:C$101,3,FALSE)*E1197</f>
        <v>192</v>
      </c>
      <c r="G1197" t="s">
        <v>400</v>
      </c>
    </row>
    <row r="1198" spans="1:7" x14ac:dyDescent="0.25">
      <c r="A1198" s="3">
        <v>44438</v>
      </c>
      <c r="B1198" s="2" t="str">
        <f t="shared" si="18"/>
        <v>sa-30-8</v>
      </c>
      <c r="C1198" t="s">
        <v>343</v>
      </c>
      <c r="D1198" t="s">
        <v>59</v>
      </c>
      <c r="E1198">
        <v>5</v>
      </c>
      <c r="F1198" s="6">
        <f>VLOOKUP(D1198,Products!A$2:C$101,3,FALSE)*E1198</f>
        <v>175</v>
      </c>
      <c r="G1198" t="s">
        <v>407</v>
      </c>
    </row>
    <row r="1199" spans="1:7" x14ac:dyDescent="0.25">
      <c r="A1199" s="3">
        <v>43970</v>
      </c>
      <c r="B1199" s="2" t="str">
        <f t="shared" si="18"/>
        <v>sa-19-5</v>
      </c>
      <c r="C1199" t="s">
        <v>339</v>
      </c>
      <c r="D1199" t="s">
        <v>72</v>
      </c>
      <c r="E1199">
        <v>3</v>
      </c>
      <c r="F1199" s="6">
        <f>VLOOKUP(D1199,Products!A$2:C$101,3,FALSE)*E1199</f>
        <v>93</v>
      </c>
      <c r="G1199" t="s">
        <v>397</v>
      </c>
    </row>
    <row r="1200" spans="1:7" x14ac:dyDescent="0.25">
      <c r="A1200" s="3">
        <v>44451</v>
      </c>
      <c r="B1200" s="2" t="str">
        <f t="shared" si="18"/>
        <v>sa-12-9</v>
      </c>
      <c r="C1200" t="s">
        <v>353</v>
      </c>
      <c r="D1200" t="s">
        <v>50</v>
      </c>
      <c r="E1200">
        <v>5</v>
      </c>
      <c r="F1200" s="6">
        <f>VLOOKUP(D1200,Products!A$2:C$101,3,FALSE)*E1200</f>
        <v>160</v>
      </c>
      <c r="G1200" t="s">
        <v>402</v>
      </c>
    </row>
    <row r="1201" spans="1:7" x14ac:dyDescent="0.25">
      <c r="A1201" s="3">
        <v>44402</v>
      </c>
      <c r="B1201" s="2" t="str">
        <f t="shared" si="18"/>
        <v>sa-25-7</v>
      </c>
      <c r="C1201" t="s">
        <v>340</v>
      </c>
      <c r="D1201" t="s">
        <v>77</v>
      </c>
      <c r="E1201">
        <v>3</v>
      </c>
      <c r="F1201" s="6">
        <f>VLOOKUP(D1201,Products!A$2:C$101,3,FALSE)*E1201</f>
        <v>102</v>
      </c>
      <c r="G1201" t="s">
        <v>395</v>
      </c>
    </row>
    <row r="1202" spans="1:7" x14ac:dyDescent="0.25">
      <c r="A1202" s="3">
        <v>44081</v>
      </c>
      <c r="B1202" s="2" t="str">
        <f t="shared" si="18"/>
        <v>sa-7-9</v>
      </c>
      <c r="C1202" t="s">
        <v>325</v>
      </c>
      <c r="D1202" t="s">
        <v>81</v>
      </c>
      <c r="E1202">
        <v>2</v>
      </c>
      <c r="F1202" s="6">
        <f>VLOOKUP(D1202,Products!A$2:C$101,3,FALSE)*E1202</f>
        <v>64</v>
      </c>
      <c r="G1202" t="s">
        <v>395</v>
      </c>
    </row>
    <row r="1203" spans="1:7" x14ac:dyDescent="0.25">
      <c r="A1203" s="3">
        <v>43954</v>
      </c>
      <c r="B1203" s="2" t="str">
        <f t="shared" si="18"/>
        <v>sa-3-5</v>
      </c>
      <c r="C1203" t="s">
        <v>323</v>
      </c>
      <c r="D1203" t="s">
        <v>7</v>
      </c>
      <c r="E1203">
        <v>5</v>
      </c>
      <c r="F1203" s="6">
        <f>VLOOKUP(D1203,Products!A$2:C$101,3,FALSE)*E1203</f>
        <v>370</v>
      </c>
      <c r="G1203" t="s">
        <v>395</v>
      </c>
    </row>
    <row r="1204" spans="1:7" x14ac:dyDescent="0.25">
      <c r="A1204" s="3">
        <v>44175</v>
      </c>
      <c r="B1204" s="2" t="str">
        <f t="shared" si="18"/>
        <v>sa-10-12</v>
      </c>
      <c r="C1204" t="s">
        <v>316</v>
      </c>
      <c r="D1204" t="s">
        <v>79</v>
      </c>
      <c r="E1204">
        <v>5</v>
      </c>
      <c r="F1204" s="6">
        <f>VLOOKUP(D1204,Products!A$2:C$101,3,FALSE)*E1204</f>
        <v>170</v>
      </c>
      <c r="G1204" t="s">
        <v>405</v>
      </c>
    </row>
    <row r="1205" spans="1:7" x14ac:dyDescent="0.25">
      <c r="A1205" s="3">
        <v>44355</v>
      </c>
      <c r="B1205" s="2" t="str">
        <f t="shared" si="18"/>
        <v>sa-8-6</v>
      </c>
      <c r="C1205" t="s">
        <v>324</v>
      </c>
      <c r="D1205" t="s">
        <v>68</v>
      </c>
      <c r="E1205">
        <v>2</v>
      </c>
      <c r="F1205" s="6">
        <f>VLOOKUP(D1205,Products!A$2:C$101,3,FALSE)*E1205</f>
        <v>64</v>
      </c>
      <c r="G1205" t="s">
        <v>408</v>
      </c>
    </row>
    <row r="1206" spans="1:7" x14ac:dyDescent="0.25">
      <c r="A1206" s="3">
        <v>44305</v>
      </c>
      <c r="B1206" s="2" t="str">
        <f t="shared" si="18"/>
        <v>sa-19-4</v>
      </c>
      <c r="C1206" t="s">
        <v>307</v>
      </c>
      <c r="D1206" t="s">
        <v>81</v>
      </c>
      <c r="E1206">
        <v>2</v>
      </c>
      <c r="F1206" s="6">
        <f>VLOOKUP(D1206,Products!A$2:C$101,3,FALSE)*E1206</f>
        <v>64</v>
      </c>
      <c r="G1206" t="s">
        <v>395</v>
      </c>
    </row>
    <row r="1207" spans="1:7" x14ac:dyDescent="0.25">
      <c r="A1207" s="3">
        <v>44170</v>
      </c>
      <c r="B1207" s="2" t="str">
        <f t="shared" si="18"/>
        <v>sa-5-12</v>
      </c>
      <c r="C1207" t="s">
        <v>313</v>
      </c>
      <c r="D1207" t="s">
        <v>89</v>
      </c>
      <c r="E1207">
        <v>4</v>
      </c>
      <c r="F1207" s="6">
        <f>VLOOKUP(D1207,Products!A$2:C$101,3,FALSE)*E1207</f>
        <v>80</v>
      </c>
      <c r="G1207" t="s">
        <v>407</v>
      </c>
    </row>
    <row r="1208" spans="1:7" x14ac:dyDescent="0.25">
      <c r="A1208" s="3">
        <v>44217</v>
      </c>
      <c r="B1208" s="2" t="str">
        <f t="shared" si="18"/>
        <v>sa-21-1</v>
      </c>
      <c r="C1208" t="s">
        <v>342</v>
      </c>
      <c r="D1208" t="s">
        <v>27</v>
      </c>
      <c r="E1208">
        <v>6</v>
      </c>
      <c r="F1208" s="6">
        <f>VLOOKUP(D1208,Products!A$2:C$101,3,FALSE)*E1208</f>
        <v>204</v>
      </c>
      <c r="G1208" t="s">
        <v>405</v>
      </c>
    </row>
    <row r="1209" spans="1:7" x14ac:dyDescent="0.25">
      <c r="A1209" s="3">
        <v>43891</v>
      </c>
      <c r="B1209" s="2" t="str">
        <f t="shared" si="18"/>
        <v>sa-1-3</v>
      </c>
      <c r="C1209" t="s">
        <v>355</v>
      </c>
      <c r="D1209" t="s">
        <v>53</v>
      </c>
      <c r="E1209">
        <v>5</v>
      </c>
      <c r="F1209" s="6">
        <f>VLOOKUP(D1209,Products!A$2:C$101,3,FALSE)*E1209</f>
        <v>160</v>
      </c>
      <c r="G1209" t="s">
        <v>404</v>
      </c>
    </row>
    <row r="1210" spans="1:7" x14ac:dyDescent="0.25">
      <c r="A1210" s="3">
        <v>44689</v>
      </c>
      <c r="B1210" s="2" t="str">
        <f t="shared" si="18"/>
        <v>sa-8-5</v>
      </c>
      <c r="C1210" t="s">
        <v>315</v>
      </c>
      <c r="D1210" t="s">
        <v>44</v>
      </c>
      <c r="E1210">
        <v>2</v>
      </c>
      <c r="F1210" s="6">
        <f>VLOOKUP(D1210,Products!A$2:C$101,3,FALSE)*E1210</f>
        <v>62</v>
      </c>
      <c r="G1210" t="s">
        <v>402</v>
      </c>
    </row>
    <row r="1211" spans="1:7" x14ac:dyDescent="0.25">
      <c r="A1211" s="3">
        <v>44044</v>
      </c>
      <c r="B1211" s="2" t="str">
        <f t="shared" si="18"/>
        <v>sa-1-8</v>
      </c>
      <c r="C1211" t="s">
        <v>313</v>
      </c>
      <c r="D1211" t="s">
        <v>20</v>
      </c>
      <c r="E1211">
        <v>4</v>
      </c>
      <c r="F1211" s="6">
        <f>VLOOKUP(D1211,Products!A$2:C$101,3,FALSE)*E1211</f>
        <v>132</v>
      </c>
      <c r="G1211" t="s">
        <v>407</v>
      </c>
    </row>
    <row r="1212" spans="1:7" x14ac:dyDescent="0.25">
      <c r="A1212" s="3">
        <v>44604</v>
      </c>
      <c r="B1212" s="2" t="str">
        <f t="shared" si="18"/>
        <v>sa-12-2</v>
      </c>
      <c r="C1212" t="s">
        <v>343</v>
      </c>
      <c r="D1212" t="s">
        <v>33</v>
      </c>
      <c r="E1212">
        <v>4</v>
      </c>
      <c r="F1212" s="6">
        <f>VLOOKUP(D1212,Products!A$2:C$101,3,FALSE)*E1212</f>
        <v>132</v>
      </c>
      <c r="G1212" t="s">
        <v>395</v>
      </c>
    </row>
    <row r="1213" spans="1:7" x14ac:dyDescent="0.25">
      <c r="A1213" s="3">
        <v>44328</v>
      </c>
      <c r="B1213" s="2" t="str">
        <f t="shared" si="18"/>
        <v>sa-12-5</v>
      </c>
      <c r="C1213" t="s">
        <v>307</v>
      </c>
      <c r="D1213" t="s">
        <v>31</v>
      </c>
      <c r="E1213">
        <v>2</v>
      </c>
      <c r="F1213" s="6">
        <f>VLOOKUP(D1213,Products!A$2:C$101,3,FALSE)*E1213</f>
        <v>64</v>
      </c>
      <c r="G1213" t="s">
        <v>397</v>
      </c>
    </row>
    <row r="1214" spans="1:7" x14ac:dyDescent="0.25">
      <c r="A1214" s="3">
        <v>44438</v>
      </c>
      <c r="B1214" s="2" t="str">
        <f t="shared" si="18"/>
        <v>sa-30-8</v>
      </c>
      <c r="C1214" t="s">
        <v>308</v>
      </c>
      <c r="D1214" t="s">
        <v>88</v>
      </c>
      <c r="E1214">
        <v>2</v>
      </c>
      <c r="F1214" s="6">
        <f>VLOOKUP(D1214,Products!A$2:C$101,3,FALSE)*E1214</f>
        <v>34</v>
      </c>
      <c r="G1214" t="s">
        <v>406</v>
      </c>
    </row>
    <row r="1215" spans="1:7" x14ac:dyDescent="0.25">
      <c r="A1215" s="3">
        <v>44449</v>
      </c>
      <c r="B1215" s="2" t="str">
        <f t="shared" si="18"/>
        <v>sa-10-9</v>
      </c>
      <c r="C1215" t="s">
        <v>334</v>
      </c>
      <c r="D1215" t="s">
        <v>101</v>
      </c>
      <c r="E1215">
        <v>6</v>
      </c>
      <c r="F1215" s="6">
        <f>VLOOKUP(D1215,Products!A$2:C$101,3,FALSE)*E1215</f>
        <v>60</v>
      </c>
      <c r="G1215" t="s">
        <v>400</v>
      </c>
    </row>
    <row r="1216" spans="1:7" x14ac:dyDescent="0.25">
      <c r="A1216" s="3">
        <v>43933</v>
      </c>
      <c r="B1216" s="2" t="str">
        <f t="shared" si="18"/>
        <v>sa-12-4</v>
      </c>
      <c r="C1216" t="s">
        <v>312</v>
      </c>
      <c r="D1216" t="s">
        <v>81</v>
      </c>
      <c r="E1216">
        <v>2</v>
      </c>
      <c r="F1216" s="6">
        <f>VLOOKUP(D1216,Products!A$2:C$101,3,FALSE)*E1216</f>
        <v>64</v>
      </c>
      <c r="G1216" t="s">
        <v>399</v>
      </c>
    </row>
    <row r="1217" spans="1:7" x14ac:dyDescent="0.25">
      <c r="A1217" s="3">
        <v>44035</v>
      </c>
      <c r="B1217" s="2" t="str">
        <f t="shared" si="18"/>
        <v>sa-23-7</v>
      </c>
      <c r="C1217" t="s">
        <v>350</v>
      </c>
      <c r="D1217" t="s">
        <v>30</v>
      </c>
      <c r="E1217">
        <v>6</v>
      </c>
      <c r="F1217" s="6">
        <f>VLOOKUP(D1217,Products!A$2:C$101,3,FALSE)*E1217</f>
        <v>210</v>
      </c>
      <c r="G1217" t="s">
        <v>396</v>
      </c>
    </row>
    <row r="1218" spans="1:7" x14ac:dyDescent="0.25">
      <c r="A1218" s="3">
        <v>44564</v>
      </c>
      <c r="B1218" s="2" t="str">
        <f t="shared" si="18"/>
        <v>sa-3-1</v>
      </c>
      <c r="C1218" t="s">
        <v>352</v>
      </c>
      <c r="D1218" t="s">
        <v>57</v>
      </c>
      <c r="E1218">
        <v>2</v>
      </c>
      <c r="F1218" s="6">
        <f>VLOOKUP(D1218,Products!A$2:C$101,3,FALSE)*E1218</f>
        <v>70</v>
      </c>
      <c r="G1218" t="s">
        <v>405</v>
      </c>
    </row>
    <row r="1219" spans="1:7" x14ac:dyDescent="0.25">
      <c r="A1219" s="3">
        <v>44019</v>
      </c>
      <c r="B1219" s="2" t="str">
        <f t="shared" ref="B1219:B1282" si="19">"sa-"&amp;DAY(A1219)&amp;"-"&amp;MONTH(A1219)</f>
        <v>sa-7-7</v>
      </c>
      <c r="C1219" t="s">
        <v>329</v>
      </c>
      <c r="D1219" t="s">
        <v>35</v>
      </c>
      <c r="E1219">
        <v>5</v>
      </c>
      <c r="F1219" s="6">
        <f>VLOOKUP(D1219,Products!A$2:C$101,3,FALSE)*E1219</f>
        <v>150</v>
      </c>
      <c r="G1219" t="s">
        <v>403</v>
      </c>
    </row>
    <row r="1220" spans="1:7" x14ac:dyDescent="0.25">
      <c r="A1220" s="3">
        <v>43884</v>
      </c>
      <c r="B1220" s="2" t="str">
        <f t="shared" si="19"/>
        <v>sa-23-2</v>
      </c>
      <c r="C1220" t="s">
        <v>328</v>
      </c>
      <c r="D1220" t="s">
        <v>7</v>
      </c>
      <c r="E1220">
        <v>4</v>
      </c>
      <c r="F1220" s="6">
        <f>VLOOKUP(D1220,Products!A$2:C$101,3,FALSE)*E1220</f>
        <v>296</v>
      </c>
      <c r="G1220" t="s">
        <v>401</v>
      </c>
    </row>
    <row r="1221" spans="1:7" x14ac:dyDescent="0.25">
      <c r="A1221" s="3">
        <v>44732</v>
      </c>
      <c r="B1221" s="2" t="str">
        <f t="shared" si="19"/>
        <v>sa-20-6</v>
      </c>
      <c r="C1221" t="s">
        <v>315</v>
      </c>
      <c r="D1221" t="s">
        <v>73</v>
      </c>
      <c r="E1221">
        <v>3</v>
      </c>
      <c r="F1221" s="6">
        <f>VLOOKUP(D1221,Products!A$2:C$101,3,FALSE)*E1221</f>
        <v>105</v>
      </c>
      <c r="G1221" t="s">
        <v>401</v>
      </c>
    </row>
    <row r="1222" spans="1:7" x14ac:dyDescent="0.25">
      <c r="A1222" s="3">
        <v>44093</v>
      </c>
      <c r="B1222" s="2" t="str">
        <f t="shared" si="19"/>
        <v>sa-19-9</v>
      </c>
      <c r="C1222" t="s">
        <v>347</v>
      </c>
      <c r="D1222" t="s">
        <v>55</v>
      </c>
      <c r="E1222">
        <v>2</v>
      </c>
      <c r="F1222" s="6">
        <f>VLOOKUP(D1222,Products!A$2:C$101,3,FALSE)*E1222</f>
        <v>64</v>
      </c>
      <c r="G1222" t="s">
        <v>405</v>
      </c>
    </row>
    <row r="1223" spans="1:7" x14ac:dyDescent="0.25">
      <c r="A1223" s="3">
        <v>44550</v>
      </c>
      <c r="B1223" s="2" t="str">
        <f t="shared" si="19"/>
        <v>sa-20-12</v>
      </c>
      <c r="C1223" t="s">
        <v>351</v>
      </c>
      <c r="D1223" t="s">
        <v>4</v>
      </c>
      <c r="E1223">
        <v>3</v>
      </c>
      <c r="F1223" s="6">
        <f>VLOOKUP(D1223,Products!A$2:C$101,3,FALSE)*E1223</f>
        <v>213</v>
      </c>
      <c r="G1223" t="s">
        <v>403</v>
      </c>
    </row>
    <row r="1224" spans="1:7" x14ac:dyDescent="0.25">
      <c r="A1224" s="3">
        <v>44700</v>
      </c>
      <c r="B1224" s="2" t="str">
        <f t="shared" si="19"/>
        <v>sa-19-5</v>
      </c>
      <c r="C1224" t="s">
        <v>353</v>
      </c>
      <c r="D1224" t="s">
        <v>73</v>
      </c>
      <c r="E1224">
        <v>6</v>
      </c>
      <c r="F1224" s="6">
        <f>VLOOKUP(D1224,Products!A$2:C$101,3,FALSE)*E1224</f>
        <v>210</v>
      </c>
      <c r="G1224" t="s">
        <v>395</v>
      </c>
    </row>
    <row r="1225" spans="1:7" x14ac:dyDescent="0.25">
      <c r="A1225" s="3">
        <v>44731</v>
      </c>
      <c r="B1225" s="2" t="str">
        <f t="shared" si="19"/>
        <v>sa-19-6</v>
      </c>
      <c r="C1225" t="s">
        <v>349</v>
      </c>
      <c r="D1225" t="s">
        <v>84</v>
      </c>
      <c r="E1225">
        <v>3</v>
      </c>
      <c r="F1225" s="6">
        <f>VLOOKUP(D1225,Products!A$2:C$101,3,FALSE)*E1225</f>
        <v>105</v>
      </c>
      <c r="G1225" t="s">
        <v>397</v>
      </c>
    </row>
    <row r="1226" spans="1:7" x14ac:dyDescent="0.25">
      <c r="A1226" s="3">
        <v>44471</v>
      </c>
      <c r="B1226" s="2" t="str">
        <f t="shared" si="19"/>
        <v>sa-2-10</v>
      </c>
      <c r="C1226" t="s">
        <v>349</v>
      </c>
      <c r="D1226" t="s">
        <v>74</v>
      </c>
      <c r="E1226">
        <v>2</v>
      </c>
      <c r="F1226" s="6">
        <f>VLOOKUP(D1226,Products!A$2:C$101,3,FALSE)*E1226</f>
        <v>68</v>
      </c>
      <c r="G1226" t="s">
        <v>399</v>
      </c>
    </row>
    <row r="1227" spans="1:7" x14ac:dyDescent="0.25">
      <c r="A1227" s="3">
        <v>44224</v>
      </c>
      <c r="B1227" s="2" t="str">
        <f t="shared" si="19"/>
        <v>sa-28-1</v>
      </c>
      <c r="C1227" t="s">
        <v>339</v>
      </c>
      <c r="D1227" t="s">
        <v>59</v>
      </c>
      <c r="E1227">
        <v>3</v>
      </c>
      <c r="F1227" s="6">
        <f>VLOOKUP(D1227,Products!A$2:C$101,3,FALSE)*E1227</f>
        <v>105</v>
      </c>
      <c r="G1227" t="s">
        <v>405</v>
      </c>
    </row>
    <row r="1228" spans="1:7" x14ac:dyDescent="0.25">
      <c r="A1228" s="3">
        <v>44110</v>
      </c>
      <c r="B1228" s="2" t="str">
        <f t="shared" si="19"/>
        <v>sa-6-10</v>
      </c>
      <c r="C1228" t="s">
        <v>329</v>
      </c>
      <c r="D1228" t="s">
        <v>5</v>
      </c>
      <c r="E1228">
        <v>5</v>
      </c>
      <c r="F1228" s="6">
        <f>VLOOKUP(D1228,Products!A$2:C$101,3,FALSE)*E1228</f>
        <v>400</v>
      </c>
      <c r="G1228" t="s">
        <v>408</v>
      </c>
    </row>
    <row r="1229" spans="1:7" x14ac:dyDescent="0.25">
      <c r="A1229" s="3">
        <v>43994</v>
      </c>
      <c r="B1229" s="2" t="str">
        <f t="shared" si="19"/>
        <v>sa-12-6</v>
      </c>
      <c r="C1229" t="s">
        <v>353</v>
      </c>
      <c r="D1229" t="s">
        <v>15</v>
      </c>
      <c r="E1229">
        <v>6</v>
      </c>
      <c r="F1229" s="6">
        <f>VLOOKUP(D1229,Products!A$2:C$101,3,FALSE)*E1229</f>
        <v>210</v>
      </c>
      <c r="G1229" t="s">
        <v>405</v>
      </c>
    </row>
    <row r="1230" spans="1:7" x14ac:dyDescent="0.25">
      <c r="A1230" s="3">
        <v>44339</v>
      </c>
      <c r="B1230" s="2" t="str">
        <f t="shared" si="19"/>
        <v>sa-23-5</v>
      </c>
      <c r="C1230" t="s">
        <v>347</v>
      </c>
      <c r="D1230" t="s">
        <v>70</v>
      </c>
      <c r="E1230">
        <v>5</v>
      </c>
      <c r="F1230" s="6">
        <f>VLOOKUP(D1230,Products!A$2:C$101,3,FALSE)*E1230</f>
        <v>175</v>
      </c>
      <c r="G1230" t="s">
        <v>400</v>
      </c>
    </row>
    <row r="1231" spans="1:7" x14ac:dyDescent="0.25">
      <c r="A1231" s="3">
        <v>44545</v>
      </c>
      <c r="B1231" s="2" t="str">
        <f t="shared" si="19"/>
        <v>sa-15-12</v>
      </c>
      <c r="C1231" t="s">
        <v>313</v>
      </c>
      <c r="D1231" t="s">
        <v>38</v>
      </c>
      <c r="E1231">
        <v>5</v>
      </c>
      <c r="F1231" s="6">
        <f>VLOOKUP(D1231,Products!A$2:C$101,3,FALSE)*E1231</f>
        <v>160</v>
      </c>
      <c r="G1231" t="s">
        <v>405</v>
      </c>
    </row>
    <row r="1232" spans="1:7" x14ac:dyDescent="0.25">
      <c r="A1232" s="3">
        <v>44110</v>
      </c>
      <c r="B1232" s="2" t="str">
        <f t="shared" si="19"/>
        <v>sa-6-10</v>
      </c>
      <c r="C1232" t="s">
        <v>352</v>
      </c>
      <c r="D1232" t="s">
        <v>12</v>
      </c>
      <c r="E1232">
        <v>5</v>
      </c>
      <c r="F1232" s="6">
        <f>VLOOKUP(D1232,Products!A$2:C$101,3,FALSE)*E1232</f>
        <v>370</v>
      </c>
      <c r="G1232" t="s">
        <v>402</v>
      </c>
    </row>
    <row r="1233" spans="1:7" x14ac:dyDescent="0.25">
      <c r="A1233" s="3">
        <v>44335</v>
      </c>
      <c r="B1233" s="2" t="str">
        <f t="shared" si="19"/>
        <v>sa-19-5</v>
      </c>
      <c r="C1233" t="s">
        <v>341</v>
      </c>
      <c r="D1233" t="s">
        <v>93</v>
      </c>
      <c r="E1233">
        <v>5</v>
      </c>
      <c r="F1233" s="6">
        <f>VLOOKUP(D1233,Products!A$2:C$101,3,FALSE)*E1233</f>
        <v>85</v>
      </c>
      <c r="G1233" t="s">
        <v>400</v>
      </c>
    </row>
    <row r="1234" spans="1:7" x14ac:dyDescent="0.25">
      <c r="A1234" s="3">
        <v>44270</v>
      </c>
      <c r="B1234" s="2" t="str">
        <f t="shared" si="19"/>
        <v>sa-15-3</v>
      </c>
      <c r="C1234" t="s">
        <v>341</v>
      </c>
      <c r="D1234" t="s">
        <v>21</v>
      </c>
      <c r="E1234">
        <v>5</v>
      </c>
      <c r="F1234" s="6">
        <f>VLOOKUP(D1234,Products!A$2:C$101,3,FALSE)*E1234</f>
        <v>165</v>
      </c>
      <c r="G1234" t="s">
        <v>397</v>
      </c>
    </row>
    <row r="1235" spans="1:7" x14ac:dyDescent="0.25">
      <c r="A1235" s="3">
        <v>44310</v>
      </c>
      <c r="B1235" s="2" t="str">
        <f t="shared" si="19"/>
        <v>sa-24-4</v>
      </c>
      <c r="C1235" t="s">
        <v>352</v>
      </c>
      <c r="D1235" t="s">
        <v>64</v>
      </c>
      <c r="E1235">
        <v>3</v>
      </c>
      <c r="F1235" s="6">
        <f>VLOOKUP(D1235,Products!A$2:C$101,3,FALSE)*E1235</f>
        <v>105</v>
      </c>
      <c r="G1235" t="s">
        <v>399</v>
      </c>
    </row>
    <row r="1236" spans="1:7" x14ac:dyDescent="0.25">
      <c r="A1236" s="3">
        <v>43896</v>
      </c>
      <c r="B1236" s="2" t="str">
        <f t="shared" si="19"/>
        <v>sa-6-3</v>
      </c>
      <c r="C1236" t="s">
        <v>326</v>
      </c>
      <c r="D1236" t="s">
        <v>45</v>
      </c>
      <c r="E1236">
        <v>3</v>
      </c>
      <c r="F1236" s="6">
        <f>VLOOKUP(D1236,Products!A$2:C$101,3,FALSE)*E1236</f>
        <v>90</v>
      </c>
      <c r="G1236" t="s">
        <v>399</v>
      </c>
    </row>
    <row r="1237" spans="1:7" x14ac:dyDescent="0.25">
      <c r="A1237" s="3">
        <v>44545</v>
      </c>
      <c r="B1237" s="2" t="str">
        <f t="shared" si="19"/>
        <v>sa-15-12</v>
      </c>
      <c r="C1237" t="s">
        <v>316</v>
      </c>
      <c r="D1237" t="s">
        <v>93</v>
      </c>
      <c r="E1237">
        <v>5</v>
      </c>
      <c r="F1237" s="6">
        <f>VLOOKUP(D1237,Products!A$2:C$101,3,FALSE)*E1237</f>
        <v>85</v>
      </c>
      <c r="G1237" t="s">
        <v>408</v>
      </c>
    </row>
    <row r="1238" spans="1:7" x14ac:dyDescent="0.25">
      <c r="A1238" s="3">
        <v>44008</v>
      </c>
      <c r="B1238" s="2" t="str">
        <f t="shared" si="19"/>
        <v>sa-26-6</v>
      </c>
      <c r="C1238" t="s">
        <v>347</v>
      </c>
      <c r="D1238" t="s">
        <v>32</v>
      </c>
      <c r="E1238">
        <v>2</v>
      </c>
      <c r="F1238" s="6">
        <f>VLOOKUP(D1238,Products!A$2:C$101,3,FALSE)*E1238</f>
        <v>68</v>
      </c>
      <c r="G1238" t="s">
        <v>401</v>
      </c>
    </row>
    <row r="1239" spans="1:7" x14ac:dyDescent="0.25">
      <c r="A1239" s="3">
        <v>43833</v>
      </c>
      <c r="B1239" s="2" t="str">
        <f t="shared" si="19"/>
        <v>sa-3-1</v>
      </c>
      <c r="C1239" t="s">
        <v>355</v>
      </c>
      <c r="D1239" t="s">
        <v>92</v>
      </c>
      <c r="E1239">
        <v>5</v>
      </c>
      <c r="F1239" s="6">
        <f>VLOOKUP(D1239,Products!A$2:C$101,3,FALSE)*E1239</f>
        <v>70</v>
      </c>
      <c r="G1239" t="s">
        <v>398</v>
      </c>
    </row>
    <row r="1240" spans="1:7" x14ac:dyDescent="0.25">
      <c r="A1240" s="3">
        <v>44512</v>
      </c>
      <c r="B1240" s="2" t="str">
        <f t="shared" si="19"/>
        <v>sa-12-11</v>
      </c>
      <c r="C1240" t="s">
        <v>319</v>
      </c>
      <c r="D1240" t="s">
        <v>83</v>
      </c>
      <c r="E1240">
        <v>5</v>
      </c>
      <c r="F1240" s="6">
        <f>VLOOKUP(D1240,Products!A$2:C$101,3,FALSE)*E1240</f>
        <v>150</v>
      </c>
      <c r="G1240" t="s">
        <v>404</v>
      </c>
    </row>
    <row r="1241" spans="1:7" x14ac:dyDescent="0.25">
      <c r="A1241" s="3">
        <v>43861</v>
      </c>
      <c r="B1241" s="2" t="str">
        <f t="shared" si="19"/>
        <v>sa-31-1</v>
      </c>
      <c r="C1241" t="s">
        <v>344</v>
      </c>
      <c r="D1241" t="s">
        <v>89</v>
      </c>
      <c r="E1241">
        <v>5</v>
      </c>
      <c r="F1241" s="6">
        <f>VLOOKUP(D1241,Products!A$2:C$101,3,FALSE)*E1241</f>
        <v>100</v>
      </c>
      <c r="G1241" t="s">
        <v>403</v>
      </c>
    </row>
    <row r="1242" spans="1:7" x14ac:dyDescent="0.25">
      <c r="A1242" s="3">
        <v>44363</v>
      </c>
      <c r="B1242" s="2" t="str">
        <f t="shared" si="19"/>
        <v>sa-16-6</v>
      </c>
      <c r="C1242" t="s">
        <v>318</v>
      </c>
      <c r="D1242" t="s">
        <v>82</v>
      </c>
      <c r="E1242">
        <v>4</v>
      </c>
      <c r="F1242" s="6">
        <f>VLOOKUP(D1242,Products!A$2:C$101,3,FALSE)*E1242</f>
        <v>128</v>
      </c>
      <c r="G1242" t="s">
        <v>395</v>
      </c>
    </row>
    <row r="1243" spans="1:7" x14ac:dyDescent="0.25">
      <c r="A1243" s="3">
        <v>44423</v>
      </c>
      <c r="B1243" s="2" t="str">
        <f t="shared" si="19"/>
        <v>sa-15-8</v>
      </c>
      <c r="C1243" t="s">
        <v>344</v>
      </c>
      <c r="D1243" t="s">
        <v>3</v>
      </c>
      <c r="E1243">
        <v>3</v>
      </c>
      <c r="F1243" s="6">
        <f>VLOOKUP(D1243,Products!A$2:C$101,3,FALSE)*E1243</f>
        <v>222</v>
      </c>
      <c r="G1243" t="s">
        <v>402</v>
      </c>
    </row>
    <row r="1244" spans="1:7" x14ac:dyDescent="0.25">
      <c r="A1244" s="3">
        <v>44270</v>
      </c>
      <c r="B1244" s="2" t="str">
        <f t="shared" si="19"/>
        <v>sa-15-3</v>
      </c>
      <c r="C1244" t="s">
        <v>353</v>
      </c>
      <c r="D1244" t="s">
        <v>100</v>
      </c>
      <c r="E1244">
        <v>6</v>
      </c>
      <c r="F1244" s="6">
        <f>VLOOKUP(D1244,Products!A$2:C$101,3,FALSE)*E1244</f>
        <v>90</v>
      </c>
      <c r="G1244" t="s">
        <v>397</v>
      </c>
    </row>
    <row r="1245" spans="1:7" x14ac:dyDescent="0.25">
      <c r="A1245" s="3">
        <v>44681</v>
      </c>
      <c r="B1245" s="2" t="str">
        <f t="shared" si="19"/>
        <v>sa-30-4</v>
      </c>
      <c r="C1245" t="s">
        <v>352</v>
      </c>
      <c r="D1245" t="s">
        <v>73</v>
      </c>
      <c r="E1245">
        <v>6</v>
      </c>
      <c r="F1245" s="6">
        <f>VLOOKUP(D1245,Products!A$2:C$101,3,FALSE)*E1245</f>
        <v>210</v>
      </c>
      <c r="G1245" t="s">
        <v>403</v>
      </c>
    </row>
    <row r="1246" spans="1:7" x14ac:dyDescent="0.25">
      <c r="A1246" s="3">
        <v>44300</v>
      </c>
      <c r="B1246" s="2" t="str">
        <f t="shared" si="19"/>
        <v>sa-14-4</v>
      </c>
      <c r="C1246" t="s">
        <v>352</v>
      </c>
      <c r="D1246" t="s">
        <v>18</v>
      </c>
      <c r="E1246">
        <v>5</v>
      </c>
      <c r="F1246" s="6">
        <f>VLOOKUP(D1246,Products!A$2:C$101,3,FALSE)*E1246</f>
        <v>175</v>
      </c>
      <c r="G1246" t="s">
        <v>407</v>
      </c>
    </row>
    <row r="1247" spans="1:7" x14ac:dyDescent="0.25">
      <c r="A1247" s="3">
        <v>44358</v>
      </c>
      <c r="B1247" s="2" t="str">
        <f t="shared" si="19"/>
        <v>sa-11-6</v>
      </c>
      <c r="C1247" t="s">
        <v>330</v>
      </c>
      <c r="D1247" t="s">
        <v>48</v>
      </c>
      <c r="E1247">
        <v>4</v>
      </c>
      <c r="F1247" s="6">
        <f>VLOOKUP(D1247,Products!A$2:C$101,3,FALSE)*E1247</f>
        <v>132</v>
      </c>
      <c r="G1247" t="s">
        <v>401</v>
      </c>
    </row>
    <row r="1248" spans="1:7" x14ac:dyDescent="0.25">
      <c r="A1248" s="3">
        <v>44202</v>
      </c>
      <c r="B1248" s="2" t="str">
        <f t="shared" si="19"/>
        <v>sa-6-1</v>
      </c>
      <c r="C1248" t="s">
        <v>328</v>
      </c>
      <c r="D1248" t="s">
        <v>2</v>
      </c>
      <c r="E1248">
        <v>5</v>
      </c>
      <c r="F1248" s="6">
        <f>VLOOKUP(D1248,Products!A$2:C$101,3,FALSE)*E1248</f>
        <v>330</v>
      </c>
      <c r="G1248" t="s">
        <v>408</v>
      </c>
    </row>
    <row r="1249" spans="1:7" x14ac:dyDescent="0.25">
      <c r="A1249" s="3">
        <v>44455</v>
      </c>
      <c r="B1249" s="2" t="str">
        <f t="shared" si="19"/>
        <v>sa-16-9</v>
      </c>
      <c r="C1249" t="s">
        <v>348</v>
      </c>
      <c r="D1249" t="s">
        <v>6</v>
      </c>
      <c r="E1249">
        <v>6</v>
      </c>
      <c r="F1249" s="6">
        <f>VLOOKUP(D1249,Products!A$2:C$101,3,FALSE)*E1249</f>
        <v>414</v>
      </c>
      <c r="G1249" t="s">
        <v>401</v>
      </c>
    </row>
    <row r="1250" spans="1:7" x14ac:dyDescent="0.25">
      <c r="A1250" s="3">
        <v>44132</v>
      </c>
      <c r="B1250" s="2" t="str">
        <f t="shared" si="19"/>
        <v>sa-28-10</v>
      </c>
      <c r="C1250" t="s">
        <v>329</v>
      </c>
      <c r="D1250" t="s">
        <v>62</v>
      </c>
      <c r="E1250">
        <v>3</v>
      </c>
      <c r="F1250" s="6">
        <f>VLOOKUP(D1250,Products!A$2:C$101,3,FALSE)*E1250</f>
        <v>96</v>
      </c>
      <c r="G1250" t="s">
        <v>398</v>
      </c>
    </row>
    <row r="1251" spans="1:7" x14ac:dyDescent="0.25">
      <c r="A1251" s="3">
        <v>44401</v>
      </c>
      <c r="B1251" s="2" t="str">
        <f t="shared" si="19"/>
        <v>sa-24-7</v>
      </c>
      <c r="C1251" t="s">
        <v>338</v>
      </c>
      <c r="D1251" t="s">
        <v>46</v>
      </c>
      <c r="E1251">
        <v>2</v>
      </c>
      <c r="F1251" s="6">
        <f>VLOOKUP(D1251,Products!A$2:C$101,3,FALSE)*E1251</f>
        <v>60</v>
      </c>
      <c r="G1251" t="s">
        <v>404</v>
      </c>
    </row>
    <row r="1252" spans="1:7" x14ac:dyDescent="0.25">
      <c r="A1252" s="3">
        <v>44608</v>
      </c>
      <c r="B1252" s="2" t="str">
        <f t="shared" si="19"/>
        <v>sa-16-2</v>
      </c>
      <c r="C1252" t="s">
        <v>349</v>
      </c>
      <c r="D1252" t="s">
        <v>75</v>
      </c>
      <c r="E1252">
        <v>6</v>
      </c>
      <c r="F1252" s="6">
        <f>VLOOKUP(D1252,Products!A$2:C$101,3,FALSE)*E1252</f>
        <v>204</v>
      </c>
      <c r="G1252" t="s">
        <v>400</v>
      </c>
    </row>
    <row r="1253" spans="1:7" x14ac:dyDescent="0.25">
      <c r="A1253" s="3">
        <v>44018</v>
      </c>
      <c r="B1253" s="2" t="str">
        <f t="shared" si="19"/>
        <v>sa-6-7</v>
      </c>
      <c r="C1253" t="s">
        <v>307</v>
      </c>
      <c r="D1253" t="s">
        <v>99</v>
      </c>
      <c r="E1253">
        <v>3</v>
      </c>
      <c r="F1253" s="6">
        <f>VLOOKUP(D1253,Products!A$2:C$101,3,FALSE)*E1253</f>
        <v>45</v>
      </c>
      <c r="G1253" t="s">
        <v>404</v>
      </c>
    </row>
    <row r="1254" spans="1:7" x14ac:dyDescent="0.25">
      <c r="A1254" s="3">
        <v>43957</v>
      </c>
      <c r="B1254" s="2" t="str">
        <f t="shared" si="19"/>
        <v>sa-6-5</v>
      </c>
      <c r="C1254" t="s">
        <v>343</v>
      </c>
      <c r="D1254" t="s">
        <v>33</v>
      </c>
      <c r="E1254">
        <v>4</v>
      </c>
      <c r="F1254" s="6">
        <f>VLOOKUP(D1254,Products!A$2:C$101,3,FALSE)*E1254</f>
        <v>132</v>
      </c>
      <c r="G1254" t="s">
        <v>408</v>
      </c>
    </row>
    <row r="1255" spans="1:7" x14ac:dyDescent="0.25">
      <c r="A1255" s="3">
        <v>44237</v>
      </c>
      <c r="B1255" s="2" t="str">
        <f t="shared" si="19"/>
        <v>sa-10-2</v>
      </c>
      <c r="C1255" t="s">
        <v>319</v>
      </c>
      <c r="D1255" t="s">
        <v>9</v>
      </c>
      <c r="E1255">
        <v>5</v>
      </c>
      <c r="F1255" s="6">
        <f>VLOOKUP(D1255,Products!A$2:C$101,3,FALSE)*E1255</f>
        <v>400</v>
      </c>
      <c r="G1255" t="s">
        <v>399</v>
      </c>
    </row>
    <row r="1256" spans="1:7" x14ac:dyDescent="0.25">
      <c r="A1256" s="3">
        <v>44667</v>
      </c>
      <c r="B1256" s="2" t="str">
        <f t="shared" si="19"/>
        <v>sa-16-4</v>
      </c>
      <c r="C1256" t="s">
        <v>349</v>
      </c>
      <c r="D1256" t="s">
        <v>49</v>
      </c>
      <c r="E1256">
        <v>4</v>
      </c>
      <c r="F1256" s="6">
        <f>VLOOKUP(D1256,Products!A$2:C$101,3,FALSE)*E1256</f>
        <v>132</v>
      </c>
      <c r="G1256" t="s">
        <v>399</v>
      </c>
    </row>
    <row r="1257" spans="1:7" x14ac:dyDescent="0.25">
      <c r="A1257" s="3">
        <v>44155</v>
      </c>
      <c r="B1257" s="2" t="str">
        <f t="shared" si="19"/>
        <v>sa-20-11</v>
      </c>
      <c r="C1257" t="s">
        <v>332</v>
      </c>
      <c r="D1257" t="s">
        <v>36</v>
      </c>
      <c r="E1257">
        <v>3</v>
      </c>
      <c r="F1257" s="6">
        <f>VLOOKUP(D1257,Products!A$2:C$101,3,FALSE)*E1257</f>
        <v>102</v>
      </c>
      <c r="G1257" t="s">
        <v>406</v>
      </c>
    </row>
    <row r="1258" spans="1:7" x14ac:dyDescent="0.25">
      <c r="A1258" s="3">
        <v>44348</v>
      </c>
      <c r="B1258" s="2" t="str">
        <f t="shared" si="19"/>
        <v>sa-1-6</v>
      </c>
      <c r="C1258" t="s">
        <v>325</v>
      </c>
      <c r="D1258" t="s">
        <v>54</v>
      </c>
      <c r="E1258">
        <v>4</v>
      </c>
      <c r="F1258" s="6">
        <f>VLOOKUP(D1258,Products!A$2:C$101,3,FALSE)*E1258</f>
        <v>140</v>
      </c>
      <c r="G1258" t="s">
        <v>401</v>
      </c>
    </row>
    <row r="1259" spans="1:7" x14ac:dyDescent="0.25">
      <c r="A1259" s="3">
        <v>44254</v>
      </c>
      <c r="B1259" s="2" t="str">
        <f t="shared" si="19"/>
        <v>sa-27-2</v>
      </c>
      <c r="C1259" t="s">
        <v>347</v>
      </c>
      <c r="D1259" t="s">
        <v>22</v>
      </c>
      <c r="E1259">
        <v>2</v>
      </c>
      <c r="F1259" s="6">
        <f>VLOOKUP(D1259,Products!A$2:C$101,3,FALSE)*E1259</f>
        <v>68</v>
      </c>
      <c r="G1259" t="s">
        <v>404</v>
      </c>
    </row>
    <row r="1260" spans="1:7" x14ac:dyDescent="0.25">
      <c r="A1260" s="3">
        <v>44396</v>
      </c>
      <c r="B1260" s="2" t="str">
        <f t="shared" si="19"/>
        <v>sa-19-7</v>
      </c>
      <c r="C1260" t="s">
        <v>318</v>
      </c>
      <c r="D1260" t="s">
        <v>3</v>
      </c>
      <c r="E1260">
        <v>4</v>
      </c>
      <c r="F1260" s="6">
        <f>VLOOKUP(D1260,Products!A$2:C$101,3,FALSE)*E1260</f>
        <v>296</v>
      </c>
      <c r="G1260" t="s">
        <v>404</v>
      </c>
    </row>
    <row r="1261" spans="1:7" x14ac:dyDescent="0.25">
      <c r="A1261" s="3">
        <v>43893</v>
      </c>
      <c r="B1261" s="2" t="str">
        <f t="shared" si="19"/>
        <v>sa-3-3</v>
      </c>
      <c r="C1261" t="s">
        <v>327</v>
      </c>
      <c r="D1261" t="s">
        <v>71</v>
      </c>
      <c r="E1261">
        <v>6</v>
      </c>
      <c r="F1261" s="6">
        <f>VLOOKUP(D1261,Products!A$2:C$101,3,FALSE)*E1261</f>
        <v>204</v>
      </c>
      <c r="G1261" t="s">
        <v>403</v>
      </c>
    </row>
    <row r="1262" spans="1:7" x14ac:dyDescent="0.25">
      <c r="A1262" s="3">
        <v>44038</v>
      </c>
      <c r="B1262" s="2" t="str">
        <f t="shared" si="19"/>
        <v>sa-26-7</v>
      </c>
      <c r="C1262" t="s">
        <v>334</v>
      </c>
      <c r="D1262" t="s">
        <v>18</v>
      </c>
      <c r="E1262">
        <v>2</v>
      </c>
      <c r="F1262" s="6">
        <f>VLOOKUP(D1262,Products!A$2:C$101,3,FALSE)*E1262</f>
        <v>70</v>
      </c>
      <c r="G1262" t="s">
        <v>397</v>
      </c>
    </row>
    <row r="1263" spans="1:7" x14ac:dyDescent="0.25">
      <c r="A1263" s="3">
        <v>43875</v>
      </c>
      <c r="B1263" s="2" t="str">
        <f t="shared" si="19"/>
        <v>sa-14-2</v>
      </c>
      <c r="C1263" t="s">
        <v>332</v>
      </c>
      <c r="D1263" t="s">
        <v>75</v>
      </c>
      <c r="E1263">
        <v>5</v>
      </c>
      <c r="F1263" s="6">
        <f>VLOOKUP(D1263,Products!A$2:C$101,3,FALSE)*E1263</f>
        <v>170</v>
      </c>
      <c r="G1263" t="s">
        <v>406</v>
      </c>
    </row>
    <row r="1264" spans="1:7" x14ac:dyDescent="0.25">
      <c r="A1264" s="3">
        <v>44722</v>
      </c>
      <c r="B1264" s="2" t="str">
        <f t="shared" si="19"/>
        <v>sa-10-6</v>
      </c>
      <c r="C1264" t="s">
        <v>314</v>
      </c>
      <c r="D1264" t="s">
        <v>93</v>
      </c>
      <c r="E1264">
        <v>4</v>
      </c>
      <c r="F1264" s="6">
        <f>VLOOKUP(D1264,Products!A$2:C$101,3,FALSE)*E1264</f>
        <v>68</v>
      </c>
      <c r="G1264" t="s">
        <v>400</v>
      </c>
    </row>
    <row r="1265" spans="1:7" x14ac:dyDescent="0.25">
      <c r="A1265" s="3">
        <v>44346</v>
      </c>
      <c r="B1265" s="2" t="str">
        <f t="shared" si="19"/>
        <v>sa-30-5</v>
      </c>
      <c r="C1265" t="s">
        <v>325</v>
      </c>
      <c r="D1265" t="s">
        <v>62</v>
      </c>
      <c r="E1265">
        <v>3</v>
      </c>
      <c r="F1265" s="6">
        <f>VLOOKUP(D1265,Products!A$2:C$101,3,FALSE)*E1265</f>
        <v>96</v>
      </c>
      <c r="G1265" t="s">
        <v>404</v>
      </c>
    </row>
    <row r="1266" spans="1:7" x14ac:dyDescent="0.25">
      <c r="A1266" s="3">
        <v>44597</v>
      </c>
      <c r="B1266" s="2" t="str">
        <f t="shared" si="19"/>
        <v>sa-5-2</v>
      </c>
      <c r="C1266" t="s">
        <v>328</v>
      </c>
      <c r="D1266" t="s">
        <v>66</v>
      </c>
      <c r="E1266">
        <v>4</v>
      </c>
      <c r="F1266" s="6">
        <f>VLOOKUP(D1266,Products!A$2:C$101,3,FALSE)*E1266</f>
        <v>120</v>
      </c>
      <c r="G1266" t="s">
        <v>396</v>
      </c>
    </row>
    <row r="1267" spans="1:7" x14ac:dyDescent="0.25">
      <c r="A1267" s="3">
        <v>44509</v>
      </c>
      <c r="B1267" s="2" t="str">
        <f t="shared" si="19"/>
        <v>sa-9-11</v>
      </c>
      <c r="C1267" t="s">
        <v>348</v>
      </c>
      <c r="D1267" t="s">
        <v>99</v>
      </c>
      <c r="E1267">
        <v>2</v>
      </c>
      <c r="F1267" s="6">
        <f>VLOOKUP(D1267,Products!A$2:C$101,3,FALSE)*E1267</f>
        <v>30</v>
      </c>
      <c r="G1267" t="s">
        <v>407</v>
      </c>
    </row>
    <row r="1268" spans="1:7" x14ac:dyDescent="0.25">
      <c r="A1268" s="3">
        <v>44259</v>
      </c>
      <c r="B1268" s="2" t="str">
        <f t="shared" si="19"/>
        <v>sa-4-3</v>
      </c>
      <c r="C1268" t="s">
        <v>353</v>
      </c>
      <c r="D1268" t="s">
        <v>9</v>
      </c>
      <c r="E1268">
        <v>2</v>
      </c>
      <c r="F1268" s="6">
        <f>VLOOKUP(D1268,Products!A$2:C$101,3,FALSE)*E1268</f>
        <v>160</v>
      </c>
      <c r="G1268" t="s">
        <v>402</v>
      </c>
    </row>
    <row r="1269" spans="1:7" x14ac:dyDescent="0.25">
      <c r="A1269" s="3">
        <v>43877</v>
      </c>
      <c r="B1269" s="2" t="str">
        <f t="shared" si="19"/>
        <v>sa-16-2</v>
      </c>
      <c r="C1269" t="s">
        <v>342</v>
      </c>
      <c r="D1269" t="s">
        <v>93</v>
      </c>
      <c r="E1269">
        <v>2</v>
      </c>
      <c r="F1269" s="6">
        <f>VLOOKUP(D1269,Products!A$2:C$101,3,FALSE)*E1269</f>
        <v>34</v>
      </c>
      <c r="G1269" t="s">
        <v>400</v>
      </c>
    </row>
    <row r="1270" spans="1:7" x14ac:dyDescent="0.25">
      <c r="A1270" s="3">
        <v>44117</v>
      </c>
      <c r="B1270" s="2" t="str">
        <f t="shared" si="19"/>
        <v>sa-13-10</v>
      </c>
      <c r="C1270" t="s">
        <v>327</v>
      </c>
      <c r="D1270" t="s">
        <v>71</v>
      </c>
      <c r="E1270">
        <v>4</v>
      </c>
      <c r="F1270" s="6">
        <f>VLOOKUP(D1270,Products!A$2:C$101,3,FALSE)*E1270</f>
        <v>136</v>
      </c>
      <c r="G1270" t="s">
        <v>400</v>
      </c>
    </row>
    <row r="1271" spans="1:7" x14ac:dyDescent="0.25">
      <c r="A1271" s="3">
        <v>44366</v>
      </c>
      <c r="B1271" s="2" t="str">
        <f t="shared" si="19"/>
        <v>sa-19-6</v>
      </c>
      <c r="C1271" t="s">
        <v>324</v>
      </c>
      <c r="D1271" t="s">
        <v>98</v>
      </c>
      <c r="E1271">
        <v>6</v>
      </c>
      <c r="F1271" s="6">
        <f>VLOOKUP(D1271,Products!A$2:C$101,3,FALSE)*E1271</f>
        <v>114</v>
      </c>
      <c r="G1271" t="s">
        <v>398</v>
      </c>
    </row>
    <row r="1272" spans="1:7" x14ac:dyDescent="0.25">
      <c r="A1272" s="3">
        <v>43971</v>
      </c>
      <c r="B1272" s="2" t="str">
        <f t="shared" si="19"/>
        <v>sa-20-5</v>
      </c>
      <c r="C1272" t="s">
        <v>328</v>
      </c>
      <c r="D1272" t="s">
        <v>79</v>
      </c>
      <c r="E1272">
        <v>6</v>
      </c>
      <c r="F1272" s="6">
        <f>VLOOKUP(D1272,Products!A$2:C$101,3,FALSE)*E1272</f>
        <v>204</v>
      </c>
      <c r="G1272" t="s">
        <v>405</v>
      </c>
    </row>
    <row r="1273" spans="1:7" x14ac:dyDescent="0.25">
      <c r="A1273" s="3">
        <v>44315</v>
      </c>
      <c r="B1273" s="2" t="str">
        <f t="shared" si="19"/>
        <v>sa-29-4</v>
      </c>
      <c r="C1273" t="s">
        <v>312</v>
      </c>
      <c r="D1273" t="s">
        <v>24</v>
      </c>
      <c r="E1273">
        <v>2</v>
      </c>
      <c r="F1273" s="6">
        <f>VLOOKUP(D1273,Products!A$2:C$101,3,FALSE)*E1273</f>
        <v>66</v>
      </c>
      <c r="G1273" t="s">
        <v>407</v>
      </c>
    </row>
    <row r="1274" spans="1:7" x14ac:dyDescent="0.25">
      <c r="A1274" s="3">
        <v>43905</v>
      </c>
      <c r="B1274" s="2" t="str">
        <f t="shared" si="19"/>
        <v>sa-15-3</v>
      </c>
      <c r="C1274" t="s">
        <v>316</v>
      </c>
      <c r="D1274" t="s">
        <v>57</v>
      </c>
      <c r="E1274">
        <v>4</v>
      </c>
      <c r="F1274" s="6">
        <f>VLOOKUP(D1274,Products!A$2:C$101,3,FALSE)*E1274</f>
        <v>140</v>
      </c>
      <c r="G1274" t="s">
        <v>406</v>
      </c>
    </row>
    <row r="1275" spans="1:7" x14ac:dyDescent="0.25">
      <c r="A1275" s="3">
        <v>44181</v>
      </c>
      <c r="B1275" s="2" t="str">
        <f t="shared" si="19"/>
        <v>sa-16-12</v>
      </c>
      <c r="C1275" t="s">
        <v>335</v>
      </c>
      <c r="D1275" t="s">
        <v>7</v>
      </c>
      <c r="E1275">
        <v>6</v>
      </c>
      <c r="F1275" s="6">
        <f>VLOOKUP(D1275,Products!A$2:C$101,3,FALSE)*E1275</f>
        <v>444</v>
      </c>
      <c r="G1275" t="s">
        <v>403</v>
      </c>
    </row>
    <row r="1276" spans="1:7" x14ac:dyDescent="0.25">
      <c r="A1276" s="3">
        <v>44376</v>
      </c>
      <c r="B1276" s="2" t="str">
        <f t="shared" si="19"/>
        <v>sa-29-6</v>
      </c>
      <c r="C1276" t="s">
        <v>341</v>
      </c>
      <c r="D1276" t="s">
        <v>53</v>
      </c>
      <c r="E1276">
        <v>3</v>
      </c>
      <c r="F1276" s="6">
        <f>VLOOKUP(D1276,Products!A$2:C$101,3,FALSE)*E1276</f>
        <v>96</v>
      </c>
      <c r="G1276" t="s">
        <v>405</v>
      </c>
    </row>
    <row r="1277" spans="1:7" x14ac:dyDescent="0.25">
      <c r="A1277" s="3">
        <v>44344</v>
      </c>
      <c r="B1277" s="2" t="str">
        <f t="shared" si="19"/>
        <v>sa-28-5</v>
      </c>
      <c r="C1277" t="s">
        <v>317</v>
      </c>
      <c r="D1277" t="s">
        <v>59</v>
      </c>
      <c r="E1277">
        <v>6</v>
      </c>
      <c r="F1277" s="6">
        <f>VLOOKUP(D1277,Products!A$2:C$101,3,FALSE)*E1277</f>
        <v>210</v>
      </c>
      <c r="G1277" t="s">
        <v>396</v>
      </c>
    </row>
    <row r="1278" spans="1:7" x14ac:dyDescent="0.25">
      <c r="A1278" s="3">
        <v>44412</v>
      </c>
      <c r="B1278" s="2" t="str">
        <f t="shared" si="19"/>
        <v>sa-4-8</v>
      </c>
      <c r="C1278" t="s">
        <v>320</v>
      </c>
      <c r="D1278" t="s">
        <v>98</v>
      </c>
      <c r="E1278">
        <v>2</v>
      </c>
      <c r="F1278" s="6">
        <f>VLOOKUP(D1278,Products!A$2:C$101,3,FALSE)*E1278</f>
        <v>38</v>
      </c>
      <c r="G1278" t="s">
        <v>402</v>
      </c>
    </row>
    <row r="1279" spans="1:7" x14ac:dyDescent="0.25">
      <c r="A1279" s="3">
        <v>44380</v>
      </c>
      <c r="B1279" s="2" t="str">
        <f t="shared" si="19"/>
        <v>sa-3-7</v>
      </c>
      <c r="C1279" t="s">
        <v>309</v>
      </c>
      <c r="D1279" t="s">
        <v>3</v>
      </c>
      <c r="E1279">
        <v>2</v>
      </c>
      <c r="F1279" s="6">
        <f>VLOOKUP(D1279,Products!A$2:C$101,3,FALSE)*E1279</f>
        <v>148</v>
      </c>
      <c r="G1279" t="s">
        <v>406</v>
      </c>
    </row>
    <row r="1280" spans="1:7" x14ac:dyDescent="0.25">
      <c r="A1280" s="3">
        <v>44621</v>
      </c>
      <c r="B1280" s="2" t="str">
        <f t="shared" si="19"/>
        <v>sa-1-3</v>
      </c>
      <c r="C1280" t="s">
        <v>331</v>
      </c>
      <c r="D1280" t="s">
        <v>39</v>
      </c>
      <c r="E1280">
        <v>6</v>
      </c>
      <c r="F1280" s="6">
        <f>VLOOKUP(D1280,Products!A$2:C$101,3,FALSE)*E1280</f>
        <v>192</v>
      </c>
      <c r="G1280" t="s">
        <v>405</v>
      </c>
    </row>
    <row r="1281" spans="1:7" x14ac:dyDescent="0.25">
      <c r="A1281" s="3">
        <v>44539</v>
      </c>
      <c r="B1281" s="2" t="str">
        <f t="shared" si="19"/>
        <v>sa-9-12</v>
      </c>
      <c r="C1281" t="s">
        <v>336</v>
      </c>
      <c r="D1281" t="s">
        <v>16</v>
      </c>
      <c r="E1281">
        <v>5</v>
      </c>
      <c r="F1281" s="6">
        <f>VLOOKUP(D1281,Products!A$2:C$101,3,FALSE)*E1281</f>
        <v>150</v>
      </c>
      <c r="G1281" t="s">
        <v>396</v>
      </c>
    </row>
    <row r="1282" spans="1:7" x14ac:dyDescent="0.25">
      <c r="A1282" s="3">
        <v>44127</v>
      </c>
      <c r="B1282" s="2" t="str">
        <f t="shared" si="19"/>
        <v>sa-23-10</v>
      </c>
      <c r="C1282" t="s">
        <v>329</v>
      </c>
      <c r="D1282" t="s">
        <v>5</v>
      </c>
      <c r="E1282">
        <v>5</v>
      </c>
      <c r="F1282" s="6">
        <f>VLOOKUP(D1282,Products!A$2:C$101,3,FALSE)*E1282</f>
        <v>400</v>
      </c>
      <c r="G1282" t="s">
        <v>402</v>
      </c>
    </row>
    <row r="1283" spans="1:7" x14ac:dyDescent="0.25">
      <c r="A1283" s="3">
        <v>43906</v>
      </c>
      <c r="B1283" s="2" t="str">
        <f t="shared" ref="B1283:B1346" si="20">"sa-"&amp;DAY(A1283)&amp;"-"&amp;MONTH(A1283)</f>
        <v>sa-16-3</v>
      </c>
      <c r="C1283" t="s">
        <v>333</v>
      </c>
      <c r="D1283" t="s">
        <v>67</v>
      </c>
      <c r="E1283">
        <v>5</v>
      </c>
      <c r="F1283" s="6">
        <f>VLOOKUP(D1283,Products!A$2:C$101,3,FALSE)*E1283</f>
        <v>160</v>
      </c>
      <c r="G1283" t="s">
        <v>404</v>
      </c>
    </row>
    <row r="1284" spans="1:7" x14ac:dyDescent="0.25">
      <c r="A1284" s="3">
        <v>43970</v>
      </c>
      <c r="B1284" s="2" t="str">
        <f t="shared" si="20"/>
        <v>sa-19-5</v>
      </c>
      <c r="C1284" t="s">
        <v>346</v>
      </c>
      <c r="D1284" t="s">
        <v>90</v>
      </c>
      <c r="E1284">
        <v>4</v>
      </c>
      <c r="F1284" s="6">
        <f>VLOOKUP(D1284,Products!A$2:C$101,3,FALSE)*E1284</f>
        <v>40</v>
      </c>
      <c r="G1284" t="s">
        <v>405</v>
      </c>
    </row>
    <row r="1285" spans="1:7" x14ac:dyDescent="0.25">
      <c r="A1285" s="3">
        <v>43966</v>
      </c>
      <c r="B1285" s="2" t="str">
        <f t="shared" si="20"/>
        <v>sa-15-5</v>
      </c>
      <c r="C1285" t="s">
        <v>350</v>
      </c>
      <c r="D1285" t="s">
        <v>8</v>
      </c>
      <c r="E1285">
        <v>2</v>
      </c>
      <c r="F1285" s="6">
        <f>VLOOKUP(D1285,Products!A$2:C$101,3,FALSE)*E1285</f>
        <v>126</v>
      </c>
      <c r="G1285" t="s">
        <v>403</v>
      </c>
    </row>
    <row r="1286" spans="1:7" x14ac:dyDescent="0.25">
      <c r="A1286" s="3">
        <v>44459</v>
      </c>
      <c r="B1286" s="2" t="str">
        <f t="shared" si="20"/>
        <v>sa-20-9</v>
      </c>
      <c r="C1286" t="s">
        <v>343</v>
      </c>
      <c r="D1286" t="s">
        <v>66</v>
      </c>
      <c r="E1286">
        <v>5</v>
      </c>
      <c r="F1286" s="6">
        <f>VLOOKUP(D1286,Products!A$2:C$101,3,FALSE)*E1286</f>
        <v>150</v>
      </c>
      <c r="G1286" t="s">
        <v>400</v>
      </c>
    </row>
    <row r="1287" spans="1:7" x14ac:dyDescent="0.25">
      <c r="A1287" s="3">
        <v>44135</v>
      </c>
      <c r="B1287" s="2" t="str">
        <f t="shared" si="20"/>
        <v>sa-31-10</v>
      </c>
      <c r="C1287" t="s">
        <v>316</v>
      </c>
      <c r="D1287" t="s">
        <v>55</v>
      </c>
      <c r="E1287">
        <v>2</v>
      </c>
      <c r="F1287" s="6">
        <f>VLOOKUP(D1287,Products!A$2:C$101,3,FALSE)*E1287</f>
        <v>64</v>
      </c>
      <c r="G1287" t="s">
        <v>405</v>
      </c>
    </row>
    <row r="1288" spans="1:7" x14ac:dyDescent="0.25">
      <c r="A1288" s="3">
        <v>44370</v>
      </c>
      <c r="B1288" s="2" t="str">
        <f t="shared" si="20"/>
        <v>sa-23-6</v>
      </c>
      <c r="C1288" t="s">
        <v>324</v>
      </c>
      <c r="D1288" t="s">
        <v>29</v>
      </c>
      <c r="E1288">
        <v>5</v>
      </c>
      <c r="F1288" s="6">
        <f>VLOOKUP(D1288,Products!A$2:C$101,3,FALSE)*E1288</f>
        <v>155</v>
      </c>
      <c r="G1288" t="s">
        <v>395</v>
      </c>
    </row>
    <row r="1289" spans="1:7" x14ac:dyDescent="0.25">
      <c r="A1289" s="3">
        <v>44499</v>
      </c>
      <c r="B1289" s="2" t="str">
        <f t="shared" si="20"/>
        <v>sa-30-10</v>
      </c>
      <c r="C1289" t="s">
        <v>311</v>
      </c>
      <c r="D1289" t="s">
        <v>89</v>
      </c>
      <c r="E1289">
        <v>3</v>
      </c>
      <c r="F1289" s="6">
        <f>VLOOKUP(D1289,Products!A$2:C$101,3,FALSE)*E1289</f>
        <v>60</v>
      </c>
      <c r="G1289" t="s">
        <v>404</v>
      </c>
    </row>
    <row r="1290" spans="1:7" x14ac:dyDescent="0.25">
      <c r="A1290" s="3">
        <v>44229</v>
      </c>
      <c r="B1290" s="2" t="str">
        <f t="shared" si="20"/>
        <v>sa-2-2</v>
      </c>
      <c r="C1290" t="s">
        <v>332</v>
      </c>
      <c r="D1290" t="s">
        <v>43</v>
      </c>
      <c r="E1290">
        <v>4</v>
      </c>
      <c r="F1290" s="6">
        <f>VLOOKUP(D1290,Products!A$2:C$101,3,FALSE)*E1290</f>
        <v>132</v>
      </c>
      <c r="G1290" t="s">
        <v>397</v>
      </c>
    </row>
    <row r="1291" spans="1:7" x14ac:dyDescent="0.25">
      <c r="A1291" s="3">
        <v>44154</v>
      </c>
      <c r="B1291" s="2" t="str">
        <f t="shared" si="20"/>
        <v>sa-19-11</v>
      </c>
      <c r="C1291" t="s">
        <v>330</v>
      </c>
      <c r="D1291" t="s">
        <v>3</v>
      </c>
      <c r="E1291">
        <v>3</v>
      </c>
      <c r="F1291" s="6">
        <f>VLOOKUP(D1291,Products!A$2:C$101,3,FALSE)*E1291</f>
        <v>222</v>
      </c>
      <c r="G1291" t="s">
        <v>403</v>
      </c>
    </row>
    <row r="1292" spans="1:7" x14ac:dyDescent="0.25">
      <c r="A1292" s="3">
        <v>44155</v>
      </c>
      <c r="B1292" s="2" t="str">
        <f t="shared" si="20"/>
        <v>sa-20-11</v>
      </c>
      <c r="C1292" t="s">
        <v>316</v>
      </c>
      <c r="D1292" t="s">
        <v>63</v>
      </c>
      <c r="E1292">
        <v>6</v>
      </c>
      <c r="F1292" s="6">
        <f>VLOOKUP(D1292,Products!A$2:C$101,3,FALSE)*E1292</f>
        <v>198</v>
      </c>
      <c r="G1292" t="s">
        <v>404</v>
      </c>
    </row>
    <row r="1293" spans="1:7" x14ac:dyDescent="0.25">
      <c r="A1293" s="3">
        <v>44054</v>
      </c>
      <c r="B1293" s="2" t="str">
        <f t="shared" si="20"/>
        <v>sa-11-8</v>
      </c>
      <c r="C1293" t="s">
        <v>325</v>
      </c>
      <c r="D1293" t="s">
        <v>87</v>
      </c>
      <c r="E1293">
        <v>4</v>
      </c>
      <c r="F1293" s="6">
        <f>VLOOKUP(D1293,Products!A$2:C$101,3,FALSE)*E1293</f>
        <v>52</v>
      </c>
      <c r="G1293" t="s">
        <v>407</v>
      </c>
    </row>
    <row r="1294" spans="1:7" x14ac:dyDescent="0.25">
      <c r="A1294" s="3">
        <v>44705</v>
      </c>
      <c r="B1294" s="2" t="str">
        <f t="shared" si="20"/>
        <v>sa-24-5</v>
      </c>
      <c r="C1294" t="s">
        <v>342</v>
      </c>
      <c r="D1294" t="s">
        <v>31</v>
      </c>
      <c r="E1294">
        <v>5</v>
      </c>
      <c r="F1294" s="6">
        <f>VLOOKUP(D1294,Products!A$2:C$101,3,FALSE)*E1294</f>
        <v>160</v>
      </c>
      <c r="G1294" t="s">
        <v>398</v>
      </c>
    </row>
    <row r="1295" spans="1:7" x14ac:dyDescent="0.25">
      <c r="A1295" s="3">
        <v>44260</v>
      </c>
      <c r="B1295" s="2" t="str">
        <f t="shared" si="20"/>
        <v>sa-5-3</v>
      </c>
      <c r="C1295" t="s">
        <v>341</v>
      </c>
      <c r="D1295" t="s">
        <v>22</v>
      </c>
      <c r="E1295">
        <v>4</v>
      </c>
      <c r="F1295" s="6">
        <f>VLOOKUP(D1295,Products!A$2:C$101,3,FALSE)*E1295</f>
        <v>136</v>
      </c>
      <c r="G1295" t="s">
        <v>396</v>
      </c>
    </row>
    <row r="1296" spans="1:7" x14ac:dyDescent="0.25">
      <c r="A1296" s="3">
        <v>43955</v>
      </c>
      <c r="B1296" s="2" t="str">
        <f t="shared" si="20"/>
        <v>sa-4-5</v>
      </c>
      <c r="C1296" t="s">
        <v>355</v>
      </c>
      <c r="D1296" t="s">
        <v>80</v>
      </c>
      <c r="E1296">
        <v>6</v>
      </c>
      <c r="F1296" s="6">
        <f>VLOOKUP(D1296,Products!A$2:C$101,3,FALSE)*E1296</f>
        <v>186</v>
      </c>
      <c r="G1296" t="s">
        <v>403</v>
      </c>
    </row>
    <row r="1297" spans="1:7" x14ac:dyDescent="0.25">
      <c r="A1297" s="3">
        <v>43962</v>
      </c>
      <c r="B1297" s="2" t="str">
        <f t="shared" si="20"/>
        <v>sa-11-5</v>
      </c>
      <c r="C1297" t="s">
        <v>344</v>
      </c>
      <c r="D1297" t="s">
        <v>14</v>
      </c>
      <c r="E1297">
        <v>3</v>
      </c>
      <c r="F1297" s="6">
        <f>VLOOKUP(D1297,Products!A$2:C$101,3,FALSE)*E1297</f>
        <v>237</v>
      </c>
      <c r="G1297" t="s">
        <v>395</v>
      </c>
    </row>
    <row r="1298" spans="1:7" x14ac:dyDescent="0.25">
      <c r="A1298" s="3">
        <v>44714</v>
      </c>
      <c r="B1298" s="2" t="str">
        <f t="shared" si="20"/>
        <v>sa-2-6</v>
      </c>
      <c r="C1298" t="s">
        <v>340</v>
      </c>
      <c r="D1298" t="s">
        <v>18</v>
      </c>
      <c r="E1298">
        <v>4</v>
      </c>
      <c r="F1298" s="6">
        <f>VLOOKUP(D1298,Products!A$2:C$101,3,FALSE)*E1298</f>
        <v>140</v>
      </c>
      <c r="G1298" t="s">
        <v>396</v>
      </c>
    </row>
    <row r="1299" spans="1:7" x14ac:dyDescent="0.25">
      <c r="A1299" s="3">
        <v>44638</v>
      </c>
      <c r="B1299" s="2" t="str">
        <f t="shared" si="20"/>
        <v>sa-18-3</v>
      </c>
      <c r="C1299" t="s">
        <v>315</v>
      </c>
      <c r="D1299" t="s">
        <v>9</v>
      </c>
      <c r="E1299">
        <v>2</v>
      </c>
      <c r="F1299" s="6">
        <f>VLOOKUP(D1299,Products!A$2:C$101,3,FALSE)*E1299</f>
        <v>160</v>
      </c>
      <c r="G1299" t="s">
        <v>400</v>
      </c>
    </row>
    <row r="1300" spans="1:7" x14ac:dyDescent="0.25">
      <c r="A1300" s="3">
        <v>44127</v>
      </c>
      <c r="B1300" s="2" t="str">
        <f t="shared" si="20"/>
        <v>sa-23-10</v>
      </c>
      <c r="C1300" t="s">
        <v>333</v>
      </c>
      <c r="D1300" t="s">
        <v>11</v>
      </c>
      <c r="E1300">
        <v>4</v>
      </c>
      <c r="F1300" s="6">
        <f>VLOOKUP(D1300,Products!A$2:C$101,3,FALSE)*E1300</f>
        <v>312</v>
      </c>
      <c r="G1300" t="s">
        <v>397</v>
      </c>
    </row>
    <row r="1301" spans="1:7" x14ac:dyDescent="0.25">
      <c r="A1301" s="3">
        <v>44196</v>
      </c>
      <c r="B1301" s="2" t="str">
        <f t="shared" si="20"/>
        <v>sa-31-12</v>
      </c>
      <c r="C1301" t="s">
        <v>333</v>
      </c>
      <c r="D1301" t="s">
        <v>43</v>
      </c>
      <c r="E1301">
        <v>2</v>
      </c>
      <c r="F1301" s="6">
        <f>VLOOKUP(D1301,Products!A$2:C$101,3,FALSE)*E1301</f>
        <v>66</v>
      </c>
      <c r="G1301" t="s">
        <v>396</v>
      </c>
    </row>
    <row r="1302" spans="1:7" x14ac:dyDescent="0.25">
      <c r="A1302" s="3">
        <v>44507</v>
      </c>
      <c r="B1302" s="2" t="str">
        <f t="shared" si="20"/>
        <v>sa-7-11</v>
      </c>
      <c r="C1302" t="s">
        <v>318</v>
      </c>
      <c r="D1302" t="s">
        <v>74</v>
      </c>
      <c r="E1302">
        <v>3</v>
      </c>
      <c r="F1302" s="6">
        <f>VLOOKUP(D1302,Products!A$2:C$101,3,FALSE)*E1302</f>
        <v>102</v>
      </c>
      <c r="G1302" t="s">
        <v>398</v>
      </c>
    </row>
    <row r="1303" spans="1:7" x14ac:dyDescent="0.25">
      <c r="A1303" s="3">
        <v>44636</v>
      </c>
      <c r="B1303" s="2" t="str">
        <f t="shared" si="20"/>
        <v>sa-16-3</v>
      </c>
      <c r="C1303" t="s">
        <v>342</v>
      </c>
      <c r="D1303" t="s">
        <v>49</v>
      </c>
      <c r="E1303">
        <v>3</v>
      </c>
      <c r="F1303" s="6">
        <f>VLOOKUP(D1303,Products!A$2:C$101,3,FALSE)*E1303</f>
        <v>99</v>
      </c>
      <c r="G1303" t="s">
        <v>407</v>
      </c>
    </row>
    <row r="1304" spans="1:7" x14ac:dyDescent="0.25">
      <c r="A1304" s="3">
        <v>44726</v>
      </c>
      <c r="B1304" s="2" t="str">
        <f t="shared" si="20"/>
        <v>sa-14-6</v>
      </c>
      <c r="C1304" t="s">
        <v>334</v>
      </c>
      <c r="D1304" t="s">
        <v>33</v>
      </c>
      <c r="E1304">
        <v>5</v>
      </c>
      <c r="F1304" s="6">
        <f>VLOOKUP(D1304,Products!A$2:C$101,3,FALSE)*E1304</f>
        <v>165</v>
      </c>
      <c r="G1304" t="s">
        <v>401</v>
      </c>
    </row>
    <row r="1305" spans="1:7" x14ac:dyDescent="0.25">
      <c r="A1305" s="3">
        <v>44036</v>
      </c>
      <c r="B1305" s="2" t="str">
        <f t="shared" si="20"/>
        <v>sa-24-7</v>
      </c>
      <c r="C1305" t="s">
        <v>309</v>
      </c>
      <c r="D1305" t="s">
        <v>19</v>
      </c>
      <c r="E1305">
        <v>4</v>
      </c>
      <c r="F1305" s="6">
        <f>VLOOKUP(D1305,Products!A$2:C$101,3,FALSE)*E1305</f>
        <v>132</v>
      </c>
      <c r="G1305" t="s">
        <v>400</v>
      </c>
    </row>
    <row r="1306" spans="1:7" x14ac:dyDescent="0.25">
      <c r="A1306" s="3">
        <v>44504</v>
      </c>
      <c r="B1306" s="2" t="str">
        <f t="shared" si="20"/>
        <v>sa-4-11</v>
      </c>
      <c r="C1306" t="s">
        <v>316</v>
      </c>
      <c r="D1306" t="s">
        <v>15</v>
      </c>
      <c r="E1306">
        <v>3</v>
      </c>
      <c r="F1306" s="6">
        <f>VLOOKUP(D1306,Products!A$2:C$101,3,FALSE)*E1306</f>
        <v>105</v>
      </c>
      <c r="G1306" t="s">
        <v>407</v>
      </c>
    </row>
    <row r="1307" spans="1:7" x14ac:dyDescent="0.25">
      <c r="A1307" s="3">
        <v>44642</v>
      </c>
      <c r="B1307" s="2" t="str">
        <f t="shared" si="20"/>
        <v>sa-22-3</v>
      </c>
      <c r="C1307" t="s">
        <v>351</v>
      </c>
      <c r="D1307" t="s">
        <v>24</v>
      </c>
      <c r="E1307">
        <v>4</v>
      </c>
      <c r="F1307" s="6">
        <f>VLOOKUP(D1307,Products!A$2:C$101,3,FALSE)*E1307</f>
        <v>132</v>
      </c>
      <c r="G1307" t="s">
        <v>396</v>
      </c>
    </row>
    <row r="1308" spans="1:7" x14ac:dyDescent="0.25">
      <c r="A1308" s="3">
        <v>44462</v>
      </c>
      <c r="B1308" s="2" t="str">
        <f t="shared" si="20"/>
        <v>sa-23-9</v>
      </c>
      <c r="C1308" t="s">
        <v>318</v>
      </c>
      <c r="D1308" t="s">
        <v>62</v>
      </c>
      <c r="E1308">
        <v>2</v>
      </c>
      <c r="F1308" s="6">
        <f>VLOOKUP(D1308,Products!A$2:C$101,3,FALSE)*E1308</f>
        <v>64</v>
      </c>
      <c r="G1308" t="s">
        <v>397</v>
      </c>
    </row>
    <row r="1309" spans="1:7" x14ac:dyDescent="0.25">
      <c r="A1309" s="3">
        <v>44108</v>
      </c>
      <c r="B1309" s="2" t="str">
        <f t="shared" si="20"/>
        <v>sa-4-10</v>
      </c>
      <c r="C1309" t="s">
        <v>348</v>
      </c>
      <c r="D1309" t="s">
        <v>65</v>
      </c>
      <c r="E1309">
        <v>3</v>
      </c>
      <c r="F1309" s="6">
        <f>VLOOKUP(D1309,Products!A$2:C$101,3,FALSE)*E1309</f>
        <v>96</v>
      </c>
      <c r="G1309" t="s">
        <v>405</v>
      </c>
    </row>
    <row r="1310" spans="1:7" x14ac:dyDescent="0.25">
      <c r="A1310" s="3">
        <v>44039</v>
      </c>
      <c r="B1310" s="2" t="str">
        <f t="shared" si="20"/>
        <v>sa-27-7</v>
      </c>
      <c r="C1310" t="s">
        <v>312</v>
      </c>
      <c r="D1310" t="s">
        <v>16</v>
      </c>
      <c r="E1310">
        <v>2</v>
      </c>
      <c r="F1310" s="6">
        <f>VLOOKUP(D1310,Products!A$2:C$101,3,FALSE)*E1310</f>
        <v>60</v>
      </c>
      <c r="G1310" t="s">
        <v>402</v>
      </c>
    </row>
    <row r="1311" spans="1:7" x14ac:dyDescent="0.25">
      <c r="A1311" s="3">
        <v>44169</v>
      </c>
      <c r="B1311" s="2" t="str">
        <f t="shared" si="20"/>
        <v>sa-4-12</v>
      </c>
      <c r="C1311" t="s">
        <v>329</v>
      </c>
      <c r="D1311" t="s">
        <v>12</v>
      </c>
      <c r="E1311">
        <v>2</v>
      </c>
      <c r="F1311" s="6">
        <f>VLOOKUP(D1311,Products!A$2:C$101,3,FALSE)*E1311</f>
        <v>148</v>
      </c>
      <c r="G1311" t="s">
        <v>406</v>
      </c>
    </row>
    <row r="1312" spans="1:7" x14ac:dyDescent="0.25">
      <c r="A1312" s="3">
        <v>44424</v>
      </c>
      <c r="B1312" s="2" t="str">
        <f t="shared" si="20"/>
        <v>sa-16-8</v>
      </c>
      <c r="C1312" t="s">
        <v>311</v>
      </c>
      <c r="D1312" t="s">
        <v>4</v>
      </c>
      <c r="E1312">
        <v>5</v>
      </c>
      <c r="F1312" s="6">
        <f>VLOOKUP(D1312,Products!A$2:C$101,3,FALSE)*E1312</f>
        <v>355</v>
      </c>
      <c r="G1312" t="s">
        <v>396</v>
      </c>
    </row>
    <row r="1313" spans="1:7" x14ac:dyDescent="0.25">
      <c r="A1313" s="3">
        <v>44682</v>
      </c>
      <c r="B1313" s="2" t="str">
        <f t="shared" si="20"/>
        <v>sa-1-5</v>
      </c>
      <c r="C1313" t="s">
        <v>322</v>
      </c>
      <c r="D1313" t="s">
        <v>90</v>
      </c>
      <c r="E1313">
        <v>2</v>
      </c>
      <c r="F1313" s="6">
        <f>VLOOKUP(D1313,Products!A$2:C$101,3,FALSE)*E1313</f>
        <v>20</v>
      </c>
      <c r="G1313" t="s">
        <v>403</v>
      </c>
    </row>
    <row r="1314" spans="1:7" x14ac:dyDescent="0.25">
      <c r="A1314" s="3">
        <v>44420</v>
      </c>
      <c r="B1314" s="2" t="str">
        <f t="shared" si="20"/>
        <v>sa-12-8</v>
      </c>
      <c r="C1314" t="s">
        <v>322</v>
      </c>
      <c r="D1314" t="s">
        <v>37</v>
      </c>
      <c r="E1314">
        <v>3</v>
      </c>
      <c r="F1314" s="6">
        <f>VLOOKUP(D1314,Products!A$2:C$101,3,FALSE)*E1314</f>
        <v>99</v>
      </c>
      <c r="G1314" t="s">
        <v>402</v>
      </c>
    </row>
    <row r="1315" spans="1:7" x14ac:dyDescent="0.25">
      <c r="A1315" s="3">
        <v>44631</v>
      </c>
      <c r="B1315" s="2" t="str">
        <f t="shared" si="20"/>
        <v>sa-11-3</v>
      </c>
      <c r="C1315" t="s">
        <v>347</v>
      </c>
      <c r="D1315" t="s">
        <v>28</v>
      </c>
      <c r="E1315">
        <v>4</v>
      </c>
      <c r="F1315" s="6">
        <f>VLOOKUP(D1315,Products!A$2:C$101,3,FALSE)*E1315</f>
        <v>120</v>
      </c>
      <c r="G1315" t="s">
        <v>399</v>
      </c>
    </row>
    <row r="1316" spans="1:7" x14ac:dyDescent="0.25">
      <c r="A1316" s="3">
        <v>44609</v>
      </c>
      <c r="B1316" s="2" t="str">
        <f t="shared" si="20"/>
        <v>sa-17-2</v>
      </c>
      <c r="C1316" t="s">
        <v>313</v>
      </c>
      <c r="D1316" t="s">
        <v>56</v>
      </c>
      <c r="E1316">
        <v>2</v>
      </c>
      <c r="F1316" s="6">
        <f>VLOOKUP(D1316,Products!A$2:C$101,3,FALSE)*E1316</f>
        <v>60</v>
      </c>
      <c r="G1316" t="s">
        <v>400</v>
      </c>
    </row>
    <row r="1317" spans="1:7" x14ac:dyDescent="0.25">
      <c r="A1317" s="3">
        <v>44576</v>
      </c>
      <c r="B1317" s="2" t="str">
        <f t="shared" si="20"/>
        <v>sa-15-1</v>
      </c>
      <c r="C1317" t="s">
        <v>353</v>
      </c>
      <c r="D1317" t="s">
        <v>15</v>
      </c>
      <c r="E1317">
        <v>2</v>
      </c>
      <c r="F1317" s="6">
        <f>VLOOKUP(D1317,Products!A$2:C$101,3,FALSE)*E1317</f>
        <v>70</v>
      </c>
      <c r="G1317" t="s">
        <v>402</v>
      </c>
    </row>
    <row r="1318" spans="1:7" x14ac:dyDescent="0.25">
      <c r="A1318" s="3">
        <v>44625</v>
      </c>
      <c r="B1318" s="2" t="str">
        <f t="shared" si="20"/>
        <v>sa-5-3</v>
      </c>
      <c r="C1318" t="s">
        <v>320</v>
      </c>
      <c r="D1318" t="s">
        <v>15</v>
      </c>
      <c r="E1318">
        <v>2</v>
      </c>
      <c r="F1318" s="6">
        <f>VLOOKUP(D1318,Products!A$2:C$101,3,FALSE)*E1318</f>
        <v>70</v>
      </c>
      <c r="G1318" t="s">
        <v>407</v>
      </c>
    </row>
    <row r="1319" spans="1:7" x14ac:dyDescent="0.25">
      <c r="A1319" s="3">
        <v>44107</v>
      </c>
      <c r="B1319" s="2" t="str">
        <f t="shared" si="20"/>
        <v>sa-3-10</v>
      </c>
      <c r="C1319" t="s">
        <v>355</v>
      </c>
      <c r="D1319" t="s">
        <v>30</v>
      </c>
      <c r="E1319">
        <v>3</v>
      </c>
      <c r="F1319" s="6">
        <f>VLOOKUP(D1319,Products!A$2:C$101,3,FALSE)*E1319</f>
        <v>105</v>
      </c>
      <c r="G1319" t="s">
        <v>398</v>
      </c>
    </row>
    <row r="1320" spans="1:7" x14ac:dyDescent="0.25">
      <c r="A1320" s="3">
        <v>44493</v>
      </c>
      <c r="B1320" s="2" t="str">
        <f t="shared" si="20"/>
        <v>sa-24-10</v>
      </c>
      <c r="C1320" t="s">
        <v>310</v>
      </c>
      <c r="D1320" t="s">
        <v>56</v>
      </c>
      <c r="E1320">
        <v>4</v>
      </c>
      <c r="F1320" s="6">
        <f>VLOOKUP(D1320,Products!A$2:C$101,3,FALSE)*E1320</f>
        <v>120</v>
      </c>
      <c r="G1320" t="s">
        <v>398</v>
      </c>
    </row>
    <row r="1321" spans="1:7" x14ac:dyDescent="0.25">
      <c r="A1321" s="3">
        <v>44332</v>
      </c>
      <c r="B1321" s="2" t="str">
        <f t="shared" si="20"/>
        <v>sa-16-5</v>
      </c>
      <c r="C1321" t="s">
        <v>313</v>
      </c>
      <c r="D1321" t="s">
        <v>4</v>
      </c>
      <c r="E1321">
        <v>3</v>
      </c>
      <c r="F1321" s="6">
        <f>VLOOKUP(D1321,Products!A$2:C$101,3,FALSE)*E1321</f>
        <v>213</v>
      </c>
      <c r="G1321" t="s">
        <v>407</v>
      </c>
    </row>
    <row r="1322" spans="1:7" x14ac:dyDescent="0.25">
      <c r="A1322" s="3">
        <v>43994</v>
      </c>
      <c r="B1322" s="2" t="str">
        <f t="shared" si="20"/>
        <v>sa-12-6</v>
      </c>
      <c r="C1322" t="s">
        <v>345</v>
      </c>
      <c r="D1322" t="s">
        <v>87</v>
      </c>
      <c r="E1322">
        <v>3</v>
      </c>
      <c r="F1322" s="6">
        <f>VLOOKUP(D1322,Products!A$2:C$101,3,FALSE)*E1322</f>
        <v>39</v>
      </c>
      <c r="G1322" t="s">
        <v>408</v>
      </c>
    </row>
    <row r="1323" spans="1:7" x14ac:dyDescent="0.25">
      <c r="A1323" s="3">
        <v>44443</v>
      </c>
      <c r="B1323" s="2" t="str">
        <f t="shared" si="20"/>
        <v>sa-4-9</v>
      </c>
      <c r="C1323" t="s">
        <v>322</v>
      </c>
      <c r="D1323" t="s">
        <v>47</v>
      </c>
      <c r="E1323">
        <v>2</v>
      </c>
      <c r="F1323" s="6">
        <f>VLOOKUP(D1323,Products!A$2:C$101,3,FALSE)*E1323</f>
        <v>64</v>
      </c>
      <c r="G1323" t="s">
        <v>403</v>
      </c>
    </row>
    <row r="1324" spans="1:7" x14ac:dyDescent="0.25">
      <c r="A1324" s="3">
        <v>44586</v>
      </c>
      <c r="B1324" s="2" t="str">
        <f t="shared" si="20"/>
        <v>sa-25-1</v>
      </c>
      <c r="C1324" t="s">
        <v>329</v>
      </c>
      <c r="D1324" t="s">
        <v>22</v>
      </c>
      <c r="E1324">
        <v>6</v>
      </c>
      <c r="F1324" s="6">
        <f>VLOOKUP(D1324,Products!A$2:C$101,3,FALSE)*E1324</f>
        <v>204</v>
      </c>
      <c r="G1324" t="s">
        <v>408</v>
      </c>
    </row>
    <row r="1325" spans="1:7" x14ac:dyDescent="0.25">
      <c r="A1325" s="3">
        <v>44436</v>
      </c>
      <c r="B1325" s="2" t="str">
        <f t="shared" si="20"/>
        <v>sa-28-8</v>
      </c>
      <c r="C1325" t="s">
        <v>350</v>
      </c>
      <c r="D1325" t="s">
        <v>94</v>
      </c>
      <c r="E1325">
        <v>3</v>
      </c>
      <c r="F1325" s="6">
        <f>VLOOKUP(D1325,Products!A$2:C$101,3,FALSE)*E1325</f>
        <v>57</v>
      </c>
      <c r="G1325" t="s">
        <v>401</v>
      </c>
    </row>
    <row r="1326" spans="1:7" x14ac:dyDescent="0.25">
      <c r="A1326" s="3">
        <v>44647</v>
      </c>
      <c r="B1326" s="2" t="str">
        <f t="shared" si="20"/>
        <v>sa-27-3</v>
      </c>
      <c r="C1326" t="s">
        <v>307</v>
      </c>
      <c r="D1326" t="s">
        <v>35</v>
      </c>
      <c r="E1326">
        <v>5</v>
      </c>
      <c r="F1326" s="6">
        <f>VLOOKUP(D1326,Products!A$2:C$101,3,FALSE)*E1326</f>
        <v>150</v>
      </c>
      <c r="G1326" t="s">
        <v>404</v>
      </c>
    </row>
    <row r="1327" spans="1:7" x14ac:dyDescent="0.25">
      <c r="A1327" s="3">
        <v>44374</v>
      </c>
      <c r="B1327" s="2" t="str">
        <f t="shared" si="20"/>
        <v>sa-27-6</v>
      </c>
      <c r="C1327" t="s">
        <v>328</v>
      </c>
      <c r="D1327" t="s">
        <v>37</v>
      </c>
      <c r="E1327">
        <v>3</v>
      </c>
      <c r="F1327" s="6">
        <f>VLOOKUP(D1327,Products!A$2:C$101,3,FALSE)*E1327</f>
        <v>99</v>
      </c>
      <c r="G1327" t="s">
        <v>402</v>
      </c>
    </row>
    <row r="1328" spans="1:7" x14ac:dyDescent="0.25">
      <c r="A1328" s="3">
        <v>44415</v>
      </c>
      <c r="B1328" s="2" t="str">
        <f t="shared" si="20"/>
        <v>sa-7-8</v>
      </c>
      <c r="C1328" t="s">
        <v>349</v>
      </c>
      <c r="D1328" t="s">
        <v>79</v>
      </c>
      <c r="E1328">
        <v>6</v>
      </c>
      <c r="F1328" s="6">
        <f>VLOOKUP(D1328,Products!A$2:C$101,3,FALSE)*E1328</f>
        <v>204</v>
      </c>
      <c r="G1328" t="s">
        <v>396</v>
      </c>
    </row>
    <row r="1329" spans="1:7" x14ac:dyDescent="0.25">
      <c r="A1329" s="3">
        <v>44264</v>
      </c>
      <c r="B1329" s="2" t="str">
        <f t="shared" si="20"/>
        <v>sa-9-3</v>
      </c>
      <c r="C1329" t="s">
        <v>355</v>
      </c>
      <c r="D1329" t="s">
        <v>38</v>
      </c>
      <c r="E1329">
        <v>2</v>
      </c>
      <c r="F1329" s="6">
        <f>VLOOKUP(D1329,Products!A$2:C$101,3,FALSE)*E1329</f>
        <v>64</v>
      </c>
      <c r="G1329" t="s">
        <v>404</v>
      </c>
    </row>
    <row r="1330" spans="1:7" x14ac:dyDescent="0.25">
      <c r="A1330" s="3">
        <v>43866</v>
      </c>
      <c r="B1330" s="2" t="str">
        <f t="shared" si="20"/>
        <v>sa-5-2</v>
      </c>
      <c r="C1330" t="s">
        <v>321</v>
      </c>
      <c r="D1330" t="s">
        <v>61</v>
      </c>
      <c r="E1330">
        <v>3</v>
      </c>
      <c r="F1330" s="6">
        <f>VLOOKUP(D1330,Products!A$2:C$101,3,FALSE)*E1330</f>
        <v>93</v>
      </c>
      <c r="G1330" t="s">
        <v>407</v>
      </c>
    </row>
    <row r="1331" spans="1:7" x14ac:dyDescent="0.25">
      <c r="A1331" s="3">
        <v>44336</v>
      </c>
      <c r="B1331" s="2" t="str">
        <f t="shared" si="20"/>
        <v>sa-20-5</v>
      </c>
      <c r="C1331" t="s">
        <v>352</v>
      </c>
      <c r="D1331" t="s">
        <v>98</v>
      </c>
      <c r="E1331">
        <v>6</v>
      </c>
      <c r="F1331" s="6">
        <f>VLOOKUP(D1331,Products!A$2:C$101,3,FALSE)*E1331</f>
        <v>114</v>
      </c>
      <c r="G1331" t="s">
        <v>401</v>
      </c>
    </row>
    <row r="1332" spans="1:7" x14ac:dyDescent="0.25">
      <c r="A1332" s="3">
        <v>44353</v>
      </c>
      <c r="B1332" s="2" t="str">
        <f t="shared" si="20"/>
        <v>sa-6-6</v>
      </c>
      <c r="C1332" t="s">
        <v>307</v>
      </c>
      <c r="D1332" t="s">
        <v>48</v>
      </c>
      <c r="E1332">
        <v>6</v>
      </c>
      <c r="F1332" s="6">
        <f>VLOOKUP(D1332,Products!A$2:C$101,3,FALSE)*E1332</f>
        <v>198</v>
      </c>
      <c r="G1332" t="s">
        <v>397</v>
      </c>
    </row>
    <row r="1333" spans="1:7" x14ac:dyDescent="0.25">
      <c r="A1333" s="3">
        <v>44216</v>
      </c>
      <c r="B1333" s="2" t="str">
        <f t="shared" si="20"/>
        <v>sa-20-1</v>
      </c>
      <c r="C1333" t="s">
        <v>348</v>
      </c>
      <c r="D1333" t="s">
        <v>5</v>
      </c>
      <c r="E1333">
        <v>6</v>
      </c>
      <c r="F1333" s="6">
        <f>VLOOKUP(D1333,Products!A$2:C$101,3,FALSE)*E1333</f>
        <v>480</v>
      </c>
      <c r="G1333" t="s">
        <v>402</v>
      </c>
    </row>
    <row r="1334" spans="1:7" x14ac:dyDescent="0.25">
      <c r="A1334" s="3">
        <v>44195</v>
      </c>
      <c r="B1334" s="2" t="str">
        <f t="shared" si="20"/>
        <v>sa-30-12</v>
      </c>
      <c r="C1334" t="s">
        <v>312</v>
      </c>
      <c r="D1334" t="s">
        <v>2</v>
      </c>
      <c r="E1334">
        <v>5</v>
      </c>
      <c r="F1334" s="6">
        <f>VLOOKUP(D1334,Products!A$2:C$101,3,FALSE)*E1334</f>
        <v>330</v>
      </c>
      <c r="G1334" t="s">
        <v>398</v>
      </c>
    </row>
    <row r="1335" spans="1:7" x14ac:dyDescent="0.25">
      <c r="A1335" s="3">
        <v>44534</v>
      </c>
      <c r="B1335" s="2" t="str">
        <f t="shared" si="20"/>
        <v>sa-4-12</v>
      </c>
      <c r="C1335" t="s">
        <v>326</v>
      </c>
      <c r="D1335" t="s">
        <v>21</v>
      </c>
      <c r="E1335">
        <v>4</v>
      </c>
      <c r="F1335" s="6">
        <f>VLOOKUP(D1335,Products!A$2:C$101,3,FALSE)*E1335</f>
        <v>132</v>
      </c>
      <c r="G1335" t="s">
        <v>403</v>
      </c>
    </row>
    <row r="1336" spans="1:7" x14ac:dyDescent="0.25">
      <c r="A1336" s="3">
        <v>44656</v>
      </c>
      <c r="B1336" s="2" t="str">
        <f t="shared" si="20"/>
        <v>sa-5-4</v>
      </c>
      <c r="C1336" t="s">
        <v>353</v>
      </c>
      <c r="D1336" t="s">
        <v>39</v>
      </c>
      <c r="E1336">
        <v>5</v>
      </c>
      <c r="F1336" s="6">
        <f>VLOOKUP(D1336,Products!A$2:C$101,3,FALSE)*E1336</f>
        <v>160</v>
      </c>
      <c r="G1336" t="s">
        <v>407</v>
      </c>
    </row>
    <row r="1337" spans="1:7" x14ac:dyDescent="0.25">
      <c r="A1337" s="3">
        <v>44182</v>
      </c>
      <c r="B1337" s="2" t="str">
        <f t="shared" si="20"/>
        <v>sa-17-12</v>
      </c>
      <c r="C1337" t="s">
        <v>348</v>
      </c>
      <c r="D1337" t="s">
        <v>76</v>
      </c>
      <c r="E1337">
        <v>4</v>
      </c>
      <c r="F1337" s="6">
        <f>VLOOKUP(D1337,Products!A$2:C$101,3,FALSE)*E1337</f>
        <v>136</v>
      </c>
      <c r="G1337" t="s">
        <v>400</v>
      </c>
    </row>
    <row r="1338" spans="1:7" x14ac:dyDescent="0.25">
      <c r="A1338" s="3">
        <v>44256</v>
      </c>
      <c r="B1338" s="2" t="str">
        <f t="shared" si="20"/>
        <v>sa-1-3</v>
      </c>
      <c r="C1338" t="s">
        <v>345</v>
      </c>
      <c r="D1338" t="s">
        <v>2</v>
      </c>
      <c r="E1338">
        <v>3</v>
      </c>
      <c r="F1338" s="6">
        <f>VLOOKUP(D1338,Products!A$2:C$101,3,FALSE)*E1338</f>
        <v>198</v>
      </c>
      <c r="G1338" t="s">
        <v>407</v>
      </c>
    </row>
    <row r="1339" spans="1:7" x14ac:dyDescent="0.25">
      <c r="A1339" s="3">
        <v>43916</v>
      </c>
      <c r="B1339" s="2" t="str">
        <f t="shared" si="20"/>
        <v>sa-26-3</v>
      </c>
      <c r="C1339" t="s">
        <v>312</v>
      </c>
      <c r="D1339" t="s">
        <v>16</v>
      </c>
      <c r="E1339">
        <v>6</v>
      </c>
      <c r="F1339" s="6">
        <f>VLOOKUP(D1339,Products!A$2:C$101,3,FALSE)*E1339</f>
        <v>180</v>
      </c>
      <c r="G1339" t="s">
        <v>400</v>
      </c>
    </row>
    <row r="1340" spans="1:7" x14ac:dyDescent="0.25">
      <c r="A1340" s="3">
        <v>44344</v>
      </c>
      <c r="B1340" s="2" t="str">
        <f t="shared" si="20"/>
        <v>sa-28-5</v>
      </c>
      <c r="C1340" t="s">
        <v>346</v>
      </c>
      <c r="D1340" t="s">
        <v>61</v>
      </c>
      <c r="E1340">
        <v>3</v>
      </c>
      <c r="F1340" s="6">
        <f>VLOOKUP(D1340,Products!A$2:C$101,3,FALSE)*E1340</f>
        <v>93</v>
      </c>
      <c r="G1340" t="s">
        <v>398</v>
      </c>
    </row>
    <row r="1341" spans="1:7" x14ac:dyDescent="0.25">
      <c r="A1341" s="3">
        <v>44668</v>
      </c>
      <c r="B1341" s="2" t="str">
        <f t="shared" si="20"/>
        <v>sa-17-4</v>
      </c>
      <c r="C1341" t="s">
        <v>338</v>
      </c>
      <c r="D1341" t="s">
        <v>101</v>
      </c>
      <c r="E1341">
        <v>5</v>
      </c>
      <c r="F1341" s="6">
        <f>VLOOKUP(D1341,Products!A$2:C$101,3,FALSE)*E1341</f>
        <v>50</v>
      </c>
      <c r="G1341" t="s">
        <v>403</v>
      </c>
    </row>
    <row r="1342" spans="1:7" x14ac:dyDescent="0.25">
      <c r="A1342" s="3">
        <v>44535</v>
      </c>
      <c r="B1342" s="2" t="str">
        <f t="shared" si="20"/>
        <v>sa-5-12</v>
      </c>
      <c r="C1342" t="s">
        <v>333</v>
      </c>
      <c r="D1342" t="s">
        <v>97</v>
      </c>
      <c r="E1342">
        <v>4</v>
      </c>
      <c r="F1342" s="6">
        <f>VLOOKUP(D1342,Products!A$2:C$101,3,FALSE)*E1342</f>
        <v>40</v>
      </c>
      <c r="G1342" t="s">
        <v>408</v>
      </c>
    </row>
    <row r="1343" spans="1:7" x14ac:dyDescent="0.25">
      <c r="A1343" s="3">
        <v>44555</v>
      </c>
      <c r="B1343" s="2" t="str">
        <f t="shared" si="20"/>
        <v>sa-25-12</v>
      </c>
      <c r="C1343" t="s">
        <v>342</v>
      </c>
      <c r="D1343" t="s">
        <v>54</v>
      </c>
      <c r="E1343">
        <v>4</v>
      </c>
      <c r="F1343" s="6">
        <f>VLOOKUP(D1343,Products!A$2:C$101,3,FALSE)*E1343</f>
        <v>140</v>
      </c>
      <c r="G1343" t="s">
        <v>395</v>
      </c>
    </row>
    <row r="1344" spans="1:7" x14ac:dyDescent="0.25">
      <c r="A1344" s="3">
        <v>43934</v>
      </c>
      <c r="B1344" s="2" t="str">
        <f t="shared" si="20"/>
        <v>sa-13-4</v>
      </c>
      <c r="C1344" t="s">
        <v>350</v>
      </c>
      <c r="D1344" t="s">
        <v>11</v>
      </c>
      <c r="E1344">
        <v>2</v>
      </c>
      <c r="F1344" s="6">
        <f>VLOOKUP(D1344,Products!A$2:C$101,3,FALSE)*E1344</f>
        <v>156</v>
      </c>
      <c r="G1344" t="s">
        <v>396</v>
      </c>
    </row>
    <row r="1345" spans="1:7" x14ac:dyDescent="0.25">
      <c r="A1345" s="3">
        <v>44561</v>
      </c>
      <c r="B1345" s="2" t="str">
        <f t="shared" si="20"/>
        <v>sa-31-12</v>
      </c>
      <c r="C1345" t="s">
        <v>322</v>
      </c>
      <c r="D1345" t="s">
        <v>75</v>
      </c>
      <c r="E1345">
        <v>6</v>
      </c>
      <c r="F1345" s="6">
        <f>VLOOKUP(D1345,Products!A$2:C$101,3,FALSE)*E1345</f>
        <v>204</v>
      </c>
      <c r="G1345" t="s">
        <v>407</v>
      </c>
    </row>
    <row r="1346" spans="1:7" x14ac:dyDescent="0.25">
      <c r="A1346" s="3">
        <v>43867</v>
      </c>
      <c r="B1346" s="2" t="str">
        <f t="shared" si="20"/>
        <v>sa-6-2</v>
      </c>
      <c r="C1346" t="s">
        <v>310</v>
      </c>
      <c r="D1346" t="s">
        <v>31</v>
      </c>
      <c r="E1346">
        <v>4</v>
      </c>
      <c r="F1346" s="6">
        <f>VLOOKUP(D1346,Products!A$2:C$101,3,FALSE)*E1346</f>
        <v>128</v>
      </c>
      <c r="G1346" t="s">
        <v>399</v>
      </c>
    </row>
    <row r="1347" spans="1:7" x14ac:dyDescent="0.25">
      <c r="A1347" s="3">
        <v>44276</v>
      </c>
      <c r="B1347" s="2" t="str">
        <f t="shared" ref="B1347:B1410" si="21">"sa-"&amp;DAY(A1347)&amp;"-"&amp;MONTH(A1347)</f>
        <v>sa-21-3</v>
      </c>
      <c r="C1347" t="s">
        <v>339</v>
      </c>
      <c r="D1347" t="s">
        <v>96</v>
      </c>
      <c r="E1347">
        <v>6</v>
      </c>
      <c r="F1347" s="6">
        <f>VLOOKUP(D1347,Products!A$2:C$101,3,FALSE)*E1347</f>
        <v>60</v>
      </c>
      <c r="G1347" t="s">
        <v>408</v>
      </c>
    </row>
    <row r="1348" spans="1:7" x14ac:dyDescent="0.25">
      <c r="A1348" s="3">
        <v>44242</v>
      </c>
      <c r="B1348" s="2" t="str">
        <f t="shared" si="21"/>
        <v>sa-15-2</v>
      </c>
      <c r="C1348" t="s">
        <v>337</v>
      </c>
      <c r="D1348" t="s">
        <v>18</v>
      </c>
      <c r="E1348">
        <v>6</v>
      </c>
      <c r="F1348" s="6">
        <f>VLOOKUP(D1348,Products!A$2:C$101,3,FALSE)*E1348</f>
        <v>210</v>
      </c>
      <c r="G1348" t="s">
        <v>404</v>
      </c>
    </row>
    <row r="1349" spans="1:7" x14ac:dyDescent="0.25">
      <c r="A1349" s="3">
        <v>44291</v>
      </c>
      <c r="B1349" s="2" t="str">
        <f t="shared" si="21"/>
        <v>sa-5-4</v>
      </c>
      <c r="C1349" t="s">
        <v>319</v>
      </c>
      <c r="D1349" t="s">
        <v>83</v>
      </c>
      <c r="E1349">
        <v>6</v>
      </c>
      <c r="F1349" s="6">
        <f>VLOOKUP(D1349,Products!A$2:C$101,3,FALSE)*E1349</f>
        <v>180</v>
      </c>
      <c r="G1349" t="s">
        <v>402</v>
      </c>
    </row>
    <row r="1350" spans="1:7" x14ac:dyDescent="0.25">
      <c r="A1350" s="3">
        <v>44733</v>
      </c>
      <c r="B1350" s="2" t="str">
        <f t="shared" si="21"/>
        <v>sa-21-6</v>
      </c>
      <c r="C1350" t="s">
        <v>315</v>
      </c>
      <c r="D1350" t="s">
        <v>22</v>
      </c>
      <c r="E1350">
        <v>5</v>
      </c>
      <c r="F1350" s="6">
        <f>VLOOKUP(D1350,Products!A$2:C$101,3,FALSE)*E1350</f>
        <v>170</v>
      </c>
      <c r="G1350" t="s">
        <v>396</v>
      </c>
    </row>
    <row r="1351" spans="1:7" x14ac:dyDescent="0.25">
      <c r="A1351" s="3">
        <v>44113</v>
      </c>
      <c r="B1351" s="2" t="str">
        <f t="shared" si="21"/>
        <v>sa-9-10</v>
      </c>
      <c r="C1351" t="s">
        <v>351</v>
      </c>
      <c r="D1351" t="s">
        <v>100</v>
      </c>
      <c r="E1351">
        <v>4</v>
      </c>
      <c r="F1351" s="6">
        <f>VLOOKUP(D1351,Products!A$2:C$101,3,FALSE)*E1351</f>
        <v>60</v>
      </c>
      <c r="G1351" t="s">
        <v>403</v>
      </c>
    </row>
    <row r="1352" spans="1:7" x14ac:dyDescent="0.25">
      <c r="A1352" s="3">
        <v>43956</v>
      </c>
      <c r="B1352" s="2" t="str">
        <f t="shared" si="21"/>
        <v>sa-5-5</v>
      </c>
      <c r="C1352" t="s">
        <v>316</v>
      </c>
      <c r="D1352" t="s">
        <v>12</v>
      </c>
      <c r="E1352">
        <v>3</v>
      </c>
      <c r="F1352" s="6">
        <f>VLOOKUP(D1352,Products!A$2:C$101,3,FALSE)*E1352</f>
        <v>222</v>
      </c>
      <c r="G1352" t="s">
        <v>402</v>
      </c>
    </row>
    <row r="1353" spans="1:7" x14ac:dyDescent="0.25">
      <c r="A1353" s="3">
        <v>43891</v>
      </c>
      <c r="B1353" s="2" t="str">
        <f t="shared" si="21"/>
        <v>sa-1-3</v>
      </c>
      <c r="C1353" t="s">
        <v>322</v>
      </c>
      <c r="D1353" t="s">
        <v>72</v>
      </c>
      <c r="E1353">
        <v>4</v>
      </c>
      <c r="F1353" s="6">
        <f>VLOOKUP(D1353,Products!A$2:C$101,3,FALSE)*E1353</f>
        <v>124</v>
      </c>
      <c r="G1353" t="s">
        <v>405</v>
      </c>
    </row>
    <row r="1354" spans="1:7" x14ac:dyDescent="0.25">
      <c r="A1354" s="3">
        <v>44408</v>
      </c>
      <c r="B1354" s="2" t="str">
        <f t="shared" si="21"/>
        <v>sa-31-7</v>
      </c>
      <c r="C1354" t="s">
        <v>307</v>
      </c>
      <c r="D1354" t="s">
        <v>20</v>
      </c>
      <c r="E1354">
        <v>6</v>
      </c>
      <c r="F1354" s="6">
        <f>VLOOKUP(D1354,Products!A$2:C$101,3,FALSE)*E1354</f>
        <v>198</v>
      </c>
      <c r="G1354" t="s">
        <v>408</v>
      </c>
    </row>
    <row r="1355" spans="1:7" x14ac:dyDescent="0.25">
      <c r="A1355" s="3">
        <v>43915</v>
      </c>
      <c r="B1355" s="2" t="str">
        <f t="shared" si="21"/>
        <v>sa-25-3</v>
      </c>
      <c r="C1355" t="s">
        <v>315</v>
      </c>
      <c r="D1355" t="s">
        <v>5</v>
      </c>
      <c r="E1355">
        <v>5</v>
      </c>
      <c r="F1355" s="6">
        <f>VLOOKUP(D1355,Products!A$2:C$101,3,FALSE)*E1355</f>
        <v>400</v>
      </c>
      <c r="G1355" t="s">
        <v>395</v>
      </c>
    </row>
    <row r="1356" spans="1:7" x14ac:dyDescent="0.25">
      <c r="A1356" s="3">
        <v>43901</v>
      </c>
      <c r="B1356" s="2" t="str">
        <f t="shared" si="21"/>
        <v>sa-11-3</v>
      </c>
      <c r="C1356" t="s">
        <v>350</v>
      </c>
      <c r="D1356" t="s">
        <v>64</v>
      </c>
      <c r="E1356">
        <v>2</v>
      </c>
      <c r="F1356" s="6">
        <f>VLOOKUP(D1356,Products!A$2:C$101,3,FALSE)*E1356</f>
        <v>70</v>
      </c>
      <c r="G1356" t="s">
        <v>406</v>
      </c>
    </row>
    <row r="1357" spans="1:7" x14ac:dyDescent="0.25">
      <c r="A1357" s="3">
        <v>44034</v>
      </c>
      <c r="B1357" s="2" t="str">
        <f t="shared" si="21"/>
        <v>sa-22-7</v>
      </c>
      <c r="C1357" t="s">
        <v>310</v>
      </c>
      <c r="D1357" t="s">
        <v>2</v>
      </c>
      <c r="E1357">
        <v>5</v>
      </c>
      <c r="F1357" s="6">
        <f>VLOOKUP(D1357,Products!A$2:C$101,3,FALSE)*E1357</f>
        <v>330</v>
      </c>
      <c r="G1357" t="s">
        <v>405</v>
      </c>
    </row>
    <row r="1358" spans="1:7" x14ac:dyDescent="0.25">
      <c r="A1358" s="3">
        <v>43907</v>
      </c>
      <c r="B1358" s="2" t="str">
        <f t="shared" si="21"/>
        <v>sa-17-3</v>
      </c>
      <c r="C1358" t="s">
        <v>345</v>
      </c>
      <c r="D1358" t="s">
        <v>20</v>
      </c>
      <c r="E1358">
        <v>5</v>
      </c>
      <c r="F1358" s="6">
        <f>VLOOKUP(D1358,Products!A$2:C$101,3,FALSE)*E1358</f>
        <v>165</v>
      </c>
      <c r="G1358" t="s">
        <v>404</v>
      </c>
    </row>
    <row r="1359" spans="1:7" x14ac:dyDescent="0.25">
      <c r="A1359" s="3">
        <v>44002</v>
      </c>
      <c r="B1359" s="2" t="str">
        <f t="shared" si="21"/>
        <v>sa-20-6</v>
      </c>
      <c r="C1359" t="s">
        <v>350</v>
      </c>
      <c r="D1359" t="s">
        <v>24</v>
      </c>
      <c r="E1359">
        <v>5</v>
      </c>
      <c r="F1359" s="6">
        <f>VLOOKUP(D1359,Products!A$2:C$101,3,FALSE)*E1359</f>
        <v>165</v>
      </c>
      <c r="G1359" t="s">
        <v>406</v>
      </c>
    </row>
    <row r="1360" spans="1:7" x14ac:dyDescent="0.25">
      <c r="A1360" s="3">
        <v>44228</v>
      </c>
      <c r="B1360" s="2" t="str">
        <f t="shared" si="21"/>
        <v>sa-1-2</v>
      </c>
      <c r="C1360" t="s">
        <v>347</v>
      </c>
      <c r="D1360" t="s">
        <v>88</v>
      </c>
      <c r="E1360">
        <v>3</v>
      </c>
      <c r="F1360" s="6">
        <f>VLOOKUP(D1360,Products!A$2:C$101,3,FALSE)*E1360</f>
        <v>51</v>
      </c>
      <c r="G1360" t="s">
        <v>407</v>
      </c>
    </row>
    <row r="1361" spans="1:7" x14ac:dyDescent="0.25">
      <c r="A1361" s="3">
        <v>44244</v>
      </c>
      <c r="B1361" s="2" t="str">
        <f t="shared" si="21"/>
        <v>sa-17-2</v>
      </c>
      <c r="C1361" t="s">
        <v>321</v>
      </c>
      <c r="D1361" t="s">
        <v>41</v>
      </c>
      <c r="E1361">
        <v>5</v>
      </c>
      <c r="F1361" s="6">
        <f>VLOOKUP(D1361,Products!A$2:C$101,3,FALSE)*E1361</f>
        <v>165</v>
      </c>
      <c r="G1361" t="s">
        <v>401</v>
      </c>
    </row>
    <row r="1362" spans="1:7" x14ac:dyDescent="0.25">
      <c r="A1362" s="3">
        <v>43835</v>
      </c>
      <c r="B1362" s="2" t="str">
        <f t="shared" si="21"/>
        <v>sa-5-1</v>
      </c>
      <c r="C1362" t="s">
        <v>334</v>
      </c>
      <c r="D1362" t="s">
        <v>65</v>
      </c>
      <c r="E1362">
        <v>5</v>
      </c>
      <c r="F1362" s="6">
        <f>VLOOKUP(D1362,Products!A$2:C$101,3,FALSE)*E1362</f>
        <v>160</v>
      </c>
      <c r="G1362" t="s">
        <v>406</v>
      </c>
    </row>
    <row r="1363" spans="1:7" x14ac:dyDescent="0.25">
      <c r="A1363" s="3">
        <v>44096</v>
      </c>
      <c r="B1363" s="2" t="str">
        <f t="shared" si="21"/>
        <v>sa-22-9</v>
      </c>
      <c r="C1363" t="s">
        <v>327</v>
      </c>
      <c r="D1363" t="s">
        <v>77</v>
      </c>
      <c r="E1363">
        <v>2</v>
      </c>
      <c r="F1363" s="6">
        <f>VLOOKUP(D1363,Products!A$2:C$101,3,FALSE)*E1363</f>
        <v>68</v>
      </c>
      <c r="G1363" t="s">
        <v>402</v>
      </c>
    </row>
    <row r="1364" spans="1:7" x14ac:dyDescent="0.25">
      <c r="A1364" s="3">
        <v>44005</v>
      </c>
      <c r="B1364" s="2" t="str">
        <f t="shared" si="21"/>
        <v>sa-23-6</v>
      </c>
      <c r="C1364" t="s">
        <v>327</v>
      </c>
      <c r="D1364" t="s">
        <v>29</v>
      </c>
      <c r="E1364">
        <v>6</v>
      </c>
      <c r="F1364" s="6">
        <f>VLOOKUP(D1364,Products!A$2:C$101,3,FALSE)*E1364</f>
        <v>186</v>
      </c>
      <c r="G1364" t="s">
        <v>407</v>
      </c>
    </row>
    <row r="1365" spans="1:7" x14ac:dyDescent="0.25">
      <c r="A1365" s="3">
        <v>44528</v>
      </c>
      <c r="B1365" s="2" t="str">
        <f t="shared" si="21"/>
        <v>sa-28-11</v>
      </c>
      <c r="C1365" t="s">
        <v>334</v>
      </c>
      <c r="D1365" t="s">
        <v>12</v>
      </c>
      <c r="E1365">
        <v>4</v>
      </c>
      <c r="F1365" s="6">
        <f>VLOOKUP(D1365,Products!A$2:C$101,3,FALSE)*E1365</f>
        <v>296</v>
      </c>
      <c r="G1365" t="s">
        <v>403</v>
      </c>
    </row>
    <row r="1366" spans="1:7" x14ac:dyDescent="0.25">
      <c r="A1366" s="3">
        <v>44030</v>
      </c>
      <c r="B1366" s="2" t="str">
        <f t="shared" si="21"/>
        <v>sa-18-7</v>
      </c>
      <c r="C1366" t="s">
        <v>338</v>
      </c>
      <c r="D1366" t="s">
        <v>54</v>
      </c>
      <c r="E1366">
        <v>5</v>
      </c>
      <c r="F1366" s="6">
        <f>VLOOKUP(D1366,Products!A$2:C$101,3,FALSE)*E1366</f>
        <v>175</v>
      </c>
      <c r="G1366" t="s">
        <v>396</v>
      </c>
    </row>
    <row r="1367" spans="1:7" x14ac:dyDescent="0.25">
      <c r="A1367" s="3">
        <v>44590</v>
      </c>
      <c r="B1367" s="2" t="str">
        <f t="shared" si="21"/>
        <v>sa-29-1</v>
      </c>
      <c r="C1367" t="s">
        <v>311</v>
      </c>
      <c r="D1367" t="s">
        <v>75</v>
      </c>
      <c r="E1367">
        <v>6</v>
      </c>
      <c r="F1367" s="6">
        <f>VLOOKUP(D1367,Products!A$2:C$101,3,FALSE)*E1367</f>
        <v>204</v>
      </c>
      <c r="G1367" t="s">
        <v>404</v>
      </c>
    </row>
    <row r="1368" spans="1:7" x14ac:dyDescent="0.25">
      <c r="A1368" s="3">
        <v>44563</v>
      </c>
      <c r="B1368" s="2" t="str">
        <f t="shared" si="21"/>
        <v>sa-2-1</v>
      </c>
      <c r="C1368" t="s">
        <v>321</v>
      </c>
      <c r="D1368" t="s">
        <v>47</v>
      </c>
      <c r="E1368">
        <v>3</v>
      </c>
      <c r="F1368" s="6">
        <f>VLOOKUP(D1368,Products!A$2:C$101,3,FALSE)*E1368</f>
        <v>96</v>
      </c>
      <c r="G1368" t="s">
        <v>397</v>
      </c>
    </row>
    <row r="1369" spans="1:7" x14ac:dyDescent="0.25">
      <c r="A1369" s="3">
        <v>44343</v>
      </c>
      <c r="B1369" s="2" t="str">
        <f t="shared" si="21"/>
        <v>sa-27-5</v>
      </c>
      <c r="C1369" t="s">
        <v>338</v>
      </c>
      <c r="D1369" t="s">
        <v>9</v>
      </c>
      <c r="E1369">
        <v>2</v>
      </c>
      <c r="F1369" s="6">
        <f>VLOOKUP(D1369,Products!A$2:C$101,3,FALSE)*E1369</f>
        <v>160</v>
      </c>
      <c r="G1369" t="s">
        <v>399</v>
      </c>
    </row>
    <row r="1370" spans="1:7" x14ac:dyDescent="0.25">
      <c r="A1370" s="3">
        <v>44686</v>
      </c>
      <c r="B1370" s="2" t="str">
        <f t="shared" si="21"/>
        <v>sa-5-5</v>
      </c>
      <c r="C1370" t="s">
        <v>349</v>
      </c>
      <c r="D1370" t="s">
        <v>44</v>
      </c>
      <c r="E1370">
        <v>3</v>
      </c>
      <c r="F1370" s="6">
        <f>VLOOKUP(D1370,Products!A$2:C$101,3,FALSE)*E1370</f>
        <v>93</v>
      </c>
      <c r="G1370" t="s">
        <v>397</v>
      </c>
    </row>
    <row r="1371" spans="1:7" x14ac:dyDescent="0.25">
      <c r="A1371" s="3">
        <v>43831</v>
      </c>
      <c r="B1371" s="2" t="str">
        <f t="shared" si="21"/>
        <v>sa-1-1</v>
      </c>
      <c r="C1371" t="s">
        <v>321</v>
      </c>
      <c r="D1371" t="s">
        <v>3</v>
      </c>
      <c r="E1371">
        <v>6</v>
      </c>
      <c r="F1371" s="6">
        <f>VLOOKUP(D1371,Products!A$2:C$101,3,FALSE)*E1371</f>
        <v>444</v>
      </c>
      <c r="G1371" t="s">
        <v>399</v>
      </c>
    </row>
    <row r="1372" spans="1:7" x14ac:dyDescent="0.25">
      <c r="A1372" s="3">
        <v>44483</v>
      </c>
      <c r="B1372" s="2" t="str">
        <f t="shared" si="21"/>
        <v>sa-14-10</v>
      </c>
      <c r="C1372" t="s">
        <v>312</v>
      </c>
      <c r="D1372" t="s">
        <v>98</v>
      </c>
      <c r="E1372">
        <v>2</v>
      </c>
      <c r="F1372" s="6">
        <f>VLOOKUP(D1372,Products!A$2:C$101,3,FALSE)*E1372</f>
        <v>38</v>
      </c>
      <c r="G1372" t="s">
        <v>408</v>
      </c>
    </row>
    <row r="1373" spans="1:7" x14ac:dyDescent="0.25">
      <c r="A1373" s="3">
        <v>44116</v>
      </c>
      <c r="B1373" s="2" t="str">
        <f t="shared" si="21"/>
        <v>sa-12-10</v>
      </c>
      <c r="C1373" t="s">
        <v>332</v>
      </c>
      <c r="D1373" t="s">
        <v>2</v>
      </c>
      <c r="E1373">
        <v>6</v>
      </c>
      <c r="F1373" s="6">
        <f>VLOOKUP(D1373,Products!A$2:C$101,3,FALSE)*E1373</f>
        <v>396</v>
      </c>
      <c r="G1373" t="s">
        <v>407</v>
      </c>
    </row>
    <row r="1374" spans="1:7" x14ac:dyDescent="0.25">
      <c r="A1374" s="3">
        <v>44373</v>
      </c>
      <c r="B1374" s="2" t="str">
        <f t="shared" si="21"/>
        <v>sa-26-6</v>
      </c>
      <c r="C1374" t="s">
        <v>318</v>
      </c>
      <c r="D1374" t="s">
        <v>73</v>
      </c>
      <c r="E1374">
        <v>4</v>
      </c>
      <c r="F1374" s="6">
        <f>VLOOKUP(D1374,Products!A$2:C$101,3,FALSE)*E1374</f>
        <v>140</v>
      </c>
      <c r="G1374" t="s">
        <v>402</v>
      </c>
    </row>
    <row r="1375" spans="1:7" x14ac:dyDescent="0.25">
      <c r="A1375" s="3">
        <v>44001</v>
      </c>
      <c r="B1375" s="2" t="str">
        <f t="shared" si="21"/>
        <v>sa-19-6</v>
      </c>
      <c r="C1375" t="s">
        <v>324</v>
      </c>
      <c r="D1375" t="s">
        <v>14</v>
      </c>
      <c r="E1375">
        <v>4</v>
      </c>
      <c r="F1375" s="6">
        <f>VLOOKUP(D1375,Products!A$2:C$101,3,FALSE)*E1375</f>
        <v>316</v>
      </c>
      <c r="G1375" t="s">
        <v>403</v>
      </c>
    </row>
    <row r="1376" spans="1:7" x14ac:dyDescent="0.25">
      <c r="A1376" s="3">
        <v>43959</v>
      </c>
      <c r="B1376" s="2" t="str">
        <f t="shared" si="21"/>
        <v>sa-8-5</v>
      </c>
      <c r="C1376" t="s">
        <v>354</v>
      </c>
      <c r="D1376" t="s">
        <v>59</v>
      </c>
      <c r="E1376">
        <v>4</v>
      </c>
      <c r="F1376" s="6">
        <f>VLOOKUP(D1376,Products!A$2:C$101,3,FALSE)*E1376</f>
        <v>140</v>
      </c>
      <c r="G1376" t="s">
        <v>405</v>
      </c>
    </row>
    <row r="1377" spans="1:7" x14ac:dyDescent="0.25">
      <c r="A1377" s="3">
        <v>44407</v>
      </c>
      <c r="B1377" s="2" t="str">
        <f t="shared" si="21"/>
        <v>sa-30-7</v>
      </c>
      <c r="C1377" t="s">
        <v>350</v>
      </c>
      <c r="D1377" t="s">
        <v>6</v>
      </c>
      <c r="E1377">
        <v>3</v>
      </c>
      <c r="F1377" s="6">
        <f>VLOOKUP(D1377,Products!A$2:C$101,3,FALSE)*E1377</f>
        <v>207</v>
      </c>
      <c r="G1377" t="s">
        <v>404</v>
      </c>
    </row>
    <row r="1378" spans="1:7" x14ac:dyDescent="0.25">
      <c r="A1378" s="3">
        <v>44286</v>
      </c>
      <c r="B1378" s="2" t="str">
        <f t="shared" si="21"/>
        <v>sa-31-3</v>
      </c>
      <c r="C1378" t="s">
        <v>319</v>
      </c>
      <c r="D1378" t="s">
        <v>78</v>
      </c>
      <c r="E1378">
        <v>5</v>
      </c>
      <c r="F1378" s="6">
        <f>VLOOKUP(D1378,Products!A$2:C$101,3,FALSE)*E1378</f>
        <v>170</v>
      </c>
      <c r="G1378" t="s">
        <v>407</v>
      </c>
    </row>
    <row r="1379" spans="1:7" x14ac:dyDescent="0.25">
      <c r="A1379" s="3">
        <v>44441</v>
      </c>
      <c r="B1379" s="2" t="str">
        <f t="shared" si="21"/>
        <v>sa-2-9</v>
      </c>
      <c r="C1379" t="s">
        <v>336</v>
      </c>
      <c r="D1379" t="s">
        <v>48</v>
      </c>
      <c r="E1379">
        <v>3</v>
      </c>
      <c r="F1379" s="6">
        <f>VLOOKUP(D1379,Products!A$2:C$101,3,FALSE)*E1379</f>
        <v>99</v>
      </c>
      <c r="G1379" t="s">
        <v>401</v>
      </c>
    </row>
    <row r="1380" spans="1:7" x14ac:dyDescent="0.25">
      <c r="A1380" s="3">
        <v>44611</v>
      </c>
      <c r="B1380" s="2" t="str">
        <f t="shared" si="21"/>
        <v>sa-19-2</v>
      </c>
      <c r="C1380" t="s">
        <v>337</v>
      </c>
      <c r="D1380" t="s">
        <v>90</v>
      </c>
      <c r="E1380">
        <v>6</v>
      </c>
      <c r="F1380" s="6">
        <f>VLOOKUP(D1380,Products!A$2:C$101,3,FALSE)*E1380</f>
        <v>60</v>
      </c>
      <c r="G1380" t="s">
        <v>401</v>
      </c>
    </row>
    <row r="1381" spans="1:7" x14ac:dyDescent="0.25">
      <c r="A1381" s="3">
        <v>44001</v>
      </c>
      <c r="B1381" s="2" t="str">
        <f t="shared" si="21"/>
        <v>sa-19-6</v>
      </c>
      <c r="C1381" t="s">
        <v>337</v>
      </c>
      <c r="D1381" t="s">
        <v>40</v>
      </c>
      <c r="E1381">
        <v>4</v>
      </c>
      <c r="F1381" s="6">
        <f>VLOOKUP(D1381,Products!A$2:C$101,3,FALSE)*E1381</f>
        <v>136</v>
      </c>
      <c r="G1381" t="s">
        <v>399</v>
      </c>
    </row>
    <row r="1382" spans="1:7" x14ac:dyDescent="0.25">
      <c r="A1382" s="3">
        <v>44097</v>
      </c>
      <c r="B1382" s="2" t="str">
        <f t="shared" si="21"/>
        <v>sa-23-9</v>
      </c>
      <c r="C1382" t="s">
        <v>333</v>
      </c>
      <c r="D1382" t="s">
        <v>16</v>
      </c>
      <c r="E1382">
        <v>4</v>
      </c>
      <c r="F1382" s="6">
        <f>VLOOKUP(D1382,Products!A$2:C$101,3,FALSE)*E1382</f>
        <v>120</v>
      </c>
      <c r="G1382" t="s">
        <v>408</v>
      </c>
    </row>
    <row r="1383" spans="1:7" x14ac:dyDescent="0.25">
      <c r="A1383" s="3">
        <v>43918</v>
      </c>
      <c r="B1383" s="2" t="str">
        <f t="shared" si="21"/>
        <v>sa-28-3</v>
      </c>
      <c r="C1383" t="s">
        <v>318</v>
      </c>
      <c r="D1383" t="s">
        <v>76</v>
      </c>
      <c r="E1383">
        <v>6</v>
      </c>
      <c r="F1383" s="6">
        <f>VLOOKUP(D1383,Products!A$2:C$101,3,FALSE)*E1383</f>
        <v>204</v>
      </c>
      <c r="G1383" t="s">
        <v>397</v>
      </c>
    </row>
    <row r="1384" spans="1:7" x14ac:dyDescent="0.25">
      <c r="A1384" s="3">
        <v>44520</v>
      </c>
      <c r="B1384" s="2" t="str">
        <f t="shared" si="21"/>
        <v>sa-20-11</v>
      </c>
      <c r="C1384" t="s">
        <v>343</v>
      </c>
      <c r="D1384" t="s">
        <v>10</v>
      </c>
      <c r="E1384">
        <v>4</v>
      </c>
      <c r="F1384" s="6">
        <f>VLOOKUP(D1384,Products!A$2:C$101,3,FALSE)*E1384</f>
        <v>288</v>
      </c>
      <c r="G1384" t="s">
        <v>403</v>
      </c>
    </row>
    <row r="1385" spans="1:7" x14ac:dyDescent="0.25">
      <c r="A1385" s="3">
        <v>44320</v>
      </c>
      <c r="B1385" s="2" t="str">
        <f t="shared" si="21"/>
        <v>sa-4-5</v>
      </c>
      <c r="C1385" t="s">
        <v>319</v>
      </c>
      <c r="D1385" t="s">
        <v>41</v>
      </c>
      <c r="E1385">
        <v>6</v>
      </c>
      <c r="F1385" s="6">
        <f>VLOOKUP(D1385,Products!A$2:C$101,3,FALSE)*E1385</f>
        <v>198</v>
      </c>
      <c r="G1385" t="s">
        <v>408</v>
      </c>
    </row>
    <row r="1386" spans="1:7" x14ac:dyDescent="0.25">
      <c r="A1386" s="3">
        <v>44021</v>
      </c>
      <c r="B1386" s="2" t="str">
        <f t="shared" si="21"/>
        <v>sa-9-7</v>
      </c>
      <c r="C1386" t="s">
        <v>347</v>
      </c>
      <c r="D1386" t="s">
        <v>86</v>
      </c>
      <c r="E1386">
        <v>3</v>
      </c>
      <c r="F1386" s="6">
        <f>VLOOKUP(D1386,Products!A$2:C$101,3,FALSE)*E1386</f>
        <v>102</v>
      </c>
      <c r="G1386" t="s">
        <v>407</v>
      </c>
    </row>
    <row r="1387" spans="1:7" x14ac:dyDescent="0.25">
      <c r="A1387" s="3">
        <v>44168</v>
      </c>
      <c r="B1387" s="2" t="str">
        <f t="shared" si="21"/>
        <v>sa-3-12</v>
      </c>
      <c r="C1387" t="s">
        <v>353</v>
      </c>
      <c r="D1387" t="s">
        <v>61</v>
      </c>
      <c r="E1387">
        <v>4</v>
      </c>
      <c r="F1387" s="6">
        <f>VLOOKUP(D1387,Products!A$2:C$101,3,FALSE)*E1387</f>
        <v>124</v>
      </c>
      <c r="G1387" t="s">
        <v>398</v>
      </c>
    </row>
    <row r="1388" spans="1:7" x14ac:dyDescent="0.25">
      <c r="A1388" s="3">
        <v>43983</v>
      </c>
      <c r="B1388" s="2" t="str">
        <f t="shared" si="21"/>
        <v>sa-1-6</v>
      </c>
      <c r="C1388" t="s">
        <v>318</v>
      </c>
      <c r="D1388" t="s">
        <v>75</v>
      </c>
      <c r="E1388">
        <v>6</v>
      </c>
      <c r="F1388" s="6">
        <f>VLOOKUP(D1388,Products!A$2:C$101,3,FALSE)*E1388</f>
        <v>204</v>
      </c>
      <c r="G1388" t="s">
        <v>397</v>
      </c>
    </row>
    <row r="1389" spans="1:7" x14ac:dyDescent="0.25">
      <c r="A1389" s="3">
        <v>44170</v>
      </c>
      <c r="B1389" s="2" t="str">
        <f t="shared" si="21"/>
        <v>sa-5-12</v>
      </c>
      <c r="C1389" t="s">
        <v>328</v>
      </c>
      <c r="D1389" t="s">
        <v>49</v>
      </c>
      <c r="E1389">
        <v>4</v>
      </c>
      <c r="F1389" s="6">
        <f>VLOOKUP(D1389,Products!A$2:C$101,3,FALSE)*E1389</f>
        <v>132</v>
      </c>
      <c r="G1389" t="s">
        <v>398</v>
      </c>
    </row>
    <row r="1390" spans="1:7" x14ac:dyDescent="0.25">
      <c r="A1390" s="3">
        <v>43916</v>
      </c>
      <c r="B1390" s="2" t="str">
        <f t="shared" si="21"/>
        <v>sa-26-3</v>
      </c>
      <c r="C1390" t="s">
        <v>311</v>
      </c>
      <c r="D1390" t="s">
        <v>77</v>
      </c>
      <c r="E1390">
        <v>2</v>
      </c>
      <c r="F1390" s="6">
        <f>VLOOKUP(D1390,Products!A$2:C$101,3,FALSE)*E1390</f>
        <v>68</v>
      </c>
      <c r="G1390" t="s">
        <v>407</v>
      </c>
    </row>
    <row r="1391" spans="1:7" x14ac:dyDescent="0.25">
      <c r="A1391" s="3">
        <v>44643</v>
      </c>
      <c r="B1391" s="2" t="str">
        <f t="shared" si="21"/>
        <v>sa-23-3</v>
      </c>
      <c r="C1391" t="s">
        <v>316</v>
      </c>
      <c r="D1391" t="s">
        <v>36</v>
      </c>
      <c r="E1391">
        <v>3</v>
      </c>
      <c r="F1391" s="6">
        <f>VLOOKUP(D1391,Products!A$2:C$101,3,FALSE)*E1391</f>
        <v>102</v>
      </c>
      <c r="G1391" t="s">
        <v>401</v>
      </c>
    </row>
    <row r="1392" spans="1:7" x14ac:dyDescent="0.25">
      <c r="A1392" s="3">
        <v>44689</v>
      </c>
      <c r="B1392" s="2" t="str">
        <f t="shared" si="21"/>
        <v>sa-8-5</v>
      </c>
      <c r="C1392" t="s">
        <v>349</v>
      </c>
      <c r="D1392" t="s">
        <v>22</v>
      </c>
      <c r="E1392">
        <v>4</v>
      </c>
      <c r="F1392" s="6">
        <f>VLOOKUP(D1392,Products!A$2:C$101,3,FALSE)*E1392</f>
        <v>136</v>
      </c>
      <c r="G1392" t="s">
        <v>404</v>
      </c>
    </row>
    <row r="1393" spans="1:7" x14ac:dyDescent="0.25">
      <c r="A1393" s="3">
        <v>43842</v>
      </c>
      <c r="B1393" s="2" t="str">
        <f t="shared" si="21"/>
        <v>sa-12-1</v>
      </c>
      <c r="C1393" t="s">
        <v>328</v>
      </c>
      <c r="D1393" t="s">
        <v>6</v>
      </c>
      <c r="E1393">
        <v>5</v>
      </c>
      <c r="F1393" s="6">
        <f>VLOOKUP(D1393,Products!A$2:C$101,3,FALSE)*E1393</f>
        <v>345</v>
      </c>
      <c r="G1393" t="s">
        <v>403</v>
      </c>
    </row>
    <row r="1394" spans="1:7" x14ac:dyDescent="0.25">
      <c r="A1394" s="3">
        <v>44354</v>
      </c>
      <c r="B1394" s="2" t="str">
        <f t="shared" si="21"/>
        <v>sa-7-6</v>
      </c>
      <c r="C1394" t="s">
        <v>307</v>
      </c>
      <c r="D1394" t="s">
        <v>23</v>
      </c>
      <c r="E1394">
        <v>5</v>
      </c>
      <c r="F1394" s="6">
        <f>VLOOKUP(D1394,Products!A$2:C$101,3,FALSE)*E1394</f>
        <v>155</v>
      </c>
      <c r="G1394" t="s">
        <v>406</v>
      </c>
    </row>
    <row r="1395" spans="1:7" x14ac:dyDescent="0.25">
      <c r="A1395" s="3">
        <v>44201</v>
      </c>
      <c r="B1395" s="2" t="str">
        <f t="shared" si="21"/>
        <v>sa-5-1</v>
      </c>
      <c r="C1395" t="s">
        <v>338</v>
      </c>
      <c r="D1395" t="s">
        <v>35</v>
      </c>
      <c r="E1395">
        <v>3</v>
      </c>
      <c r="F1395" s="6">
        <f>VLOOKUP(D1395,Products!A$2:C$101,3,FALSE)*E1395</f>
        <v>90</v>
      </c>
      <c r="G1395" t="s">
        <v>397</v>
      </c>
    </row>
    <row r="1396" spans="1:7" x14ac:dyDescent="0.25">
      <c r="A1396" s="3">
        <v>44047</v>
      </c>
      <c r="B1396" s="2" t="str">
        <f t="shared" si="21"/>
        <v>sa-4-8</v>
      </c>
      <c r="C1396" t="s">
        <v>312</v>
      </c>
      <c r="D1396" t="s">
        <v>39</v>
      </c>
      <c r="E1396">
        <v>5</v>
      </c>
      <c r="F1396" s="6">
        <f>VLOOKUP(D1396,Products!A$2:C$101,3,FALSE)*E1396</f>
        <v>160</v>
      </c>
      <c r="G1396" t="s">
        <v>405</v>
      </c>
    </row>
    <row r="1397" spans="1:7" x14ac:dyDescent="0.25">
      <c r="A1397" s="3">
        <v>44633</v>
      </c>
      <c r="B1397" s="2" t="str">
        <f t="shared" si="21"/>
        <v>sa-13-3</v>
      </c>
      <c r="C1397" t="s">
        <v>346</v>
      </c>
      <c r="D1397" t="s">
        <v>4</v>
      </c>
      <c r="E1397">
        <v>3</v>
      </c>
      <c r="F1397" s="6">
        <f>VLOOKUP(D1397,Products!A$2:C$101,3,FALSE)*E1397</f>
        <v>213</v>
      </c>
      <c r="G1397" t="s">
        <v>404</v>
      </c>
    </row>
    <row r="1398" spans="1:7" x14ac:dyDescent="0.25">
      <c r="A1398" s="3">
        <v>44520</v>
      </c>
      <c r="B1398" s="2" t="str">
        <f t="shared" si="21"/>
        <v>sa-20-11</v>
      </c>
      <c r="C1398" t="s">
        <v>353</v>
      </c>
      <c r="D1398" t="s">
        <v>70</v>
      </c>
      <c r="E1398">
        <v>5</v>
      </c>
      <c r="F1398" s="6">
        <f>VLOOKUP(D1398,Products!A$2:C$101,3,FALSE)*E1398</f>
        <v>175</v>
      </c>
      <c r="G1398" t="s">
        <v>396</v>
      </c>
    </row>
    <row r="1399" spans="1:7" x14ac:dyDescent="0.25">
      <c r="A1399" s="3">
        <v>44389</v>
      </c>
      <c r="B1399" s="2" t="str">
        <f t="shared" si="21"/>
        <v>sa-12-7</v>
      </c>
      <c r="C1399" t="s">
        <v>320</v>
      </c>
      <c r="D1399" t="s">
        <v>53</v>
      </c>
      <c r="E1399">
        <v>3</v>
      </c>
      <c r="F1399" s="6">
        <f>VLOOKUP(D1399,Products!A$2:C$101,3,FALSE)*E1399</f>
        <v>96</v>
      </c>
      <c r="G1399" t="s">
        <v>407</v>
      </c>
    </row>
    <row r="1400" spans="1:7" x14ac:dyDescent="0.25">
      <c r="A1400" s="3">
        <v>44742</v>
      </c>
      <c r="B1400" s="2" t="str">
        <f t="shared" si="21"/>
        <v>sa-30-6</v>
      </c>
      <c r="C1400" t="s">
        <v>350</v>
      </c>
      <c r="D1400" t="s">
        <v>87</v>
      </c>
      <c r="E1400">
        <v>5</v>
      </c>
      <c r="F1400" s="6">
        <f>VLOOKUP(D1400,Products!A$2:C$101,3,FALSE)*E1400</f>
        <v>65</v>
      </c>
      <c r="G1400" t="s">
        <v>397</v>
      </c>
    </row>
    <row r="1401" spans="1:7" x14ac:dyDescent="0.25">
      <c r="A1401" s="3">
        <v>43942</v>
      </c>
      <c r="B1401" s="2" t="str">
        <f t="shared" si="21"/>
        <v>sa-21-4</v>
      </c>
      <c r="C1401" t="s">
        <v>338</v>
      </c>
      <c r="D1401" t="s">
        <v>92</v>
      </c>
      <c r="E1401">
        <v>4</v>
      </c>
      <c r="F1401" s="6">
        <f>VLOOKUP(D1401,Products!A$2:C$101,3,FALSE)*E1401</f>
        <v>56</v>
      </c>
      <c r="G1401" t="s">
        <v>396</v>
      </c>
    </row>
    <row r="1402" spans="1:7" x14ac:dyDescent="0.25">
      <c r="A1402" s="3">
        <v>44686</v>
      </c>
      <c r="B1402" s="2" t="str">
        <f t="shared" si="21"/>
        <v>sa-5-5</v>
      </c>
      <c r="C1402" t="s">
        <v>334</v>
      </c>
      <c r="D1402" t="s">
        <v>58</v>
      </c>
      <c r="E1402">
        <v>2</v>
      </c>
      <c r="F1402" s="6">
        <f>VLOOKUP(D1402,Products!A$2:C$101,3,FALSE)*E1402</f>
        <v>70</v>
      </c>
      <c r="G1402" t="s">
        <v>406</v>
      </c>
    </row>
    <row r="1403" spans="1:7" x14ac:dyDescent="0.25">
      <c r="A1403" s="3">
        <v>44604</v>
      </c>
      <c r="B1403" s="2" t="str">
        <f t="shared" si="21"/>
        <v>sa-12-2</v>
      </c>
      <c r="C1403" t="s">
        <v>322</v>
      </c>
      <c r="D1403" t="s">
        <v>19</v>
      </c>
      <c r="E1403">
        <v>2</v>
      </c>
      <c r="F1403" s="6">
        <f>VLOOKUP(D1403,Products!A$2:C$101,3,FALSE)*E1403</f>
        <v>66</v>
      </c>
      <c r="G1403" t="s">
        <v>395</v>
      </c>
    </row>
    <row r="1404" spans="1:7" x14ac:dyDescent="0.25">
      <c r="A1404" s="3">
        <v>44271</v>
      </c>
      <c r="B1404" s="2" t="str">
        <f t="shared" si="21"/>
        <v>sa-16-3</v>
      </c>
      <c r="C1404" t="s">
        <v>334</v>
      </c>
      <c r="D1404" t="s">
        <v>30</v>
      </c>
      <c r="E1404">
        <v>5</v>
      </c>
      <c r="F1404" s="6">
        <f>VLOOKUP(D1404,Products!A$2:C$101,3,FALSE)*E1404</f>
        <v>175</v>
      </c>
      <c r="G1404" t="s">
        <v>396</v>
      </c>
    </row>
    <row r="1405" spans="1:7" x14ac:dyDescent="0.25">
      <c r="A1405" s="3">
        <v>44109</v>
      </c>
      <c r="B1405" s="2" t="str">
        <f t="shared" si="21"/>
        <v>sa-5-10</v>
      </c>
      <c r="C1405" t="s">
        <v>333</v>
      </c>
      <c r="D1405" t="s">
        <v>29</v>
      </c>
      <c r="E1405">
        <v>4</v>
      </c>
      <c r="F1405" s="6">
        <f>VLOOKUP(D1405,Products!A$2:C$101,3,FALSE)*E1405</f>
        <v>124</v>
      </c>
      <c r="G1405" t="s">
        <v>408</v>
      </c>
    </row>
    <row r="1406" spans="1:7" x14ac:dyDescent="0.25">
      <c r="A1406" s="3">
        <v>44286</v>
      </c>
      <c r="B1406" s="2" t="str">
        <f t="shared" si="21"/>
        <v>sa-31-3</v>
      </c>
      <c r="C1406" t="s">
        <v>338</v>
      </c>
      <c r="D1406" t="s">
        <v>25</v>
      </c>
      <c r="E1406">
        <v>4</v>
      </c>
      <c r="F1406" s="6">
        <f>VLOOKUP(D1406,Products!A$2:C$101,3,FALSE)*E1406</f>
        <v>132</v>
      </c>
      <c r="G1406" t="s">
        <v>396</v>
      </c>
    </row>
    <row r="1407" spans="1:7" x14ac:dyDescent="0.25">
      <c r="A1407" s="3">
        <v>44497</v>
      </c>
      <c r="B1407" s="2" t="str">
        <f t="shared" si="21"/>
        <v>sa-28-10</v>
      </c>
      <c r="C1407" t="s">
        <v>342</v>
      </c>
      <c r="D1407" t="s">
        <v>11</v>
      </c>
      <c r="E1407">
        <v>5</v>
      </c>
      <c r="F1407" s="6">
        <f>VLOOKUP(D1407,Products!A$2:C$101,3,FALSE)*E1407</f>
        <v>390</v>
      </c>
      <c r="G1407" t="s">
        <v>403</v>
      </c>
    </row>
    <row r="1408" spans="1:7" x14ac:dyDescent="0.25">
      <c r="A1408" s="3">
        <v>44566</v>
      </c>
      <c r="B1408" s="2" t="str">
        <f t="shared" si="21"/>
        <v>sa-5-1</v>
      </c>
      <c r="C1408" t="s">
        <v>339</v>
      </c>
      <c r="D1408" t="s">
        <v>39</v>
      </c>
      <c r="E1408">
        <v>3</v>
      </c>
      <c r="F1408" s="6">
        <f>VLOOKUP(D1408,Products!A$2:C$101,3,FALSE)*E1408</f>
        <v>96</v>
      </c>
      <c r="G1408" t="s">
        <v>398</v>
      </c>
    </row>
    <row r="1409" spans="1:7" x14ac:dyDescent="0.25">
      <c r="A1409" s="3">
        <v>43997</v>
      </c>
      <c r="B1409" s="2" t="str">
        <f t="shared" si="21"/>
        <v>sa-15-6</v>
      </c>
      <c r="C1409" t="s">
        <v>327</v>
      </c>
      <c r="D1409" t="s">
        <v>68</v>
      </c>
      <c r="E1409">
        <v>3</v>
      </c>
      <c r="F1409" s="6">
        <f>VLOOKUP(D1409,Products!A$2:C$101,3,FALSE)*E1409</f>
        <v>96</v>
      </c>
      <c r="G1409" t="s">
        <v>397</v>
      </c>
    </row>
    <row r="1410" spans="1:7" x14ac:dyDescent="0.25">
      <c r="A1410" s="3">
        <v>44670</v>
      </c>
      <c r="B1410" s="2" t="str">
        <f t="shared" si="21"/>
        <v>sa-19-4</v>
      </c>
      <c r="C1410" t="s">
        <v>345</v>
      </c>
      <c r="D1410" t="s">
        <v>101</v>
      </c>
      <c r="E1410">
        <v>2</v>
      </c>
      <c r="F1410" s="6">
        <f>VLOOKUP(D1410,Products!A$2:C$101,3,FALSE)*E1410</f>
        <v>20</v>
      </c>
      <c r="G1410" t="s">
        <v>406</v>
      </c>
    </row>
    <row r="1411" spans="1:7" x14ac:dyDescent="0.25">
      <c r="A1411" s="3">
        <v>44437</v>
      </c>
      <c r="B1411" s="2" t="str">
        <f t="shared" ref="B1411:B1474" si="22">"sa-"&amp;DAY(A1411)&amp;"-"&amp;MONTH(A1411)</f>
        <v>sa-29-8</v>
      </c>
      <c r="C1411" t="s">
        <v>309</v>
      </c>
      <c r="D1411" t="s">
        <v>7</v>
      </c>
      <c r="E1411">
        <v>3</v>
      </c>
      <c r="F1411" s="6">
        <f>VLOOKUP(D1411,Products!A$2:C$101,3,FALSE)*E1411</f>
        <v>222</v>
      </c>
      <c r="G1411" t="s">
        <v>408</v>
      </c>
    </row>
    <row r="1412" spans="1:7" x14ac:dyDescent="0.25">
      <c r="A1412" s="3">
        <v>44664</v>
      </c>
      <c r="B1412" s="2" t="str">
        <f t="shared" si="22"/>
        <v>sa-13-4</v>
      </c>
      <c r="C1412" t="s">
        <v>350</v>
      </c>
      <c r="D1412" t="s">
        <v>57</v>
      </c>
      <c r="E1412">
        <v>6</v>
      </c>
      <c r="F1412" s="6">
        <f>VLOOKUP(D1412,Products!A$2:C$101,3,FALSE)*E1412</f>
        <v>210</v>
      </c>
      <c r="G1412" t="s">
        <v>397</v>
      </c>
    </row>
    <row r="1413" spans="1:7" x14ac:dyDescent="0.25">
      <c r="A1413" s="3">
        <v>43947</v>
      </c>
      <c r="B1413" s="2" t="str">
        <f t="shared" si="22"/>
        <v>sa-26-4</v>
      </c>
      <c r="C1413" t="s">
        <v>340</v>
      </c>
      <c r="D1413" t="s">
        <v>70</v>
      </c>
      <c r="E1413">
        <v>2</v>
      </c>
      <c r="F1413" s="6">
        <f>VLOOKUP(D1413,Products!A$2:C$101,3,FALSE)*E1413</f>
        <v>70</v>
      </c>
      <c r="G1413" t="s">
        <v>408</v>
      </c>
    </row>
    <row r="1414" spans="1:7" x14ac:dyDescent="0.25">
      <c r="A1414" s="3">
        <v>43839</v>
      </c>
      <c r="B1414" s="2" t="str">
        <f t="shared" si="22"/>
        <v>sa-9-1</v>
      </c>
      <c r="C1414" t="s">
        <v>321</v>
      </c>
      <c r="D1414" t="s">
        <v>83</v>
      </c>
      <c r="E1414">
        <v>5</v>
      </c>
      <c r="F1414" s="6">
        <f>VLOOKUP(D1414,Products!A$2:C$101,3,FALSE)*E1414</f>
        <v>150</v>
      </c>
      <c r="G1414" t="s">
        <v>406</v>
      </c>
    </row>
    <row r="1415" spans="1:7" x14ac:dyDescent="0.25">
      <c r="A1415" s="3">
        <v>44621</v>
      </c>
      <c r="B1415" s="2" t="str">
        <f t="shared" si="22"/>
        <v>sa-1-3</v>
      </c>
      <c r="C1415" t="s">
        <v>336</v>
      </c>
      <c r="D1415" t="s">
        <v>23</v>
      </c>
      <c r="E1415">
        <v>5</v>
      </c>
      <c r="F1415" s="6">
        <f>VLOOKUP(D1415,Products!A$2:C$101,3,FALSE)*E1415</f>
        <v>155</v>
      </c>
      <c r="G1415" t="s">
        <v>405</v>
      </c>
    </row>
    <row r="1416" spans="1:7" x14ac:dyDescent="0.25">
      <c r="A1416" s="3">
        <v>43950</v>
      </c>
      <c r="B1416" s="2" t="str">
        <f t="shared" si="22"/>
        <v>sa-29-4</v>
      </c>
      <c r="C1416" t="s">
        <v>338</v>
      </c>
      <c r="D1416" t="s">
        <v>53</v>
      </c>
      <c r="E1416">
        <v>5</v>
      </c>
      <c r="F1416" s="6">
        <f>VLOOKUP(D1416,Products!A$2:C$101,3,FALSE)*E1416</f>
        <v>160</v>
      </c>
      <c r="G1416" t="s">
        <v>405</v>
      </c>
    </row>
    <row r="1417" spans="1:7" x14ac:dyDescent="0.25">
      <c r="A1417" s="3">
        <v>44377</v>
      </c>
      <c r="B1417" s="2" t="str">
        <f t="shared" si="22"/>
        <v>sa-30-6</v>
      </c>
      <c r="C1417" t="s">
        <v>307</v>
      </c>
      <c r="D1417" t="s">
        <v>23</v>
      </c>
      <c r="E1417">
        <v>4</v>
      </c>
      <c r="F1417" s="6">
        <f>VLOOKUP(D1417,Products!A$2:C$101,3,FALSE)*E1417</f>
        <v>124</v>
      </c>
      <c r="G1417" t="s">
        <v>400</v>
      </c>
    </row>
    <row r="1418" spans="1:7" x14ac:dyDescent="0.25">
      <c r="A1418" s="3">
        <v>44373</v>
      </c>
      <c r="B1418" s="2" t="str">
        <f t="shared" si="22"/>
        <v>sa-26-6</v>
      </c>
      <c r="C1418" t="s">
        <v>339</v>
      </c>
      <c r="D1418" t="s">
        <v>48</v>
      </c>
      <c r="E1418">
        <v>5</v>
      </c>
      <c r="F1418" s="6">
        <f>VLOOKUP(D1418,Products!A$2:C$101,3,FALSE)*E1418</f>
        <v>165</v>
      </c>
      <c r="G1418" t="s">
        <v>401</v>
      </c>
    </row>
    <row r="1419" spans="1:7" x14ac:dyDescent="0.25">
      <c r="A1419" s="3">
        <v>43909</v>
      </c>
      <c r="B1419" s="2" t="str">
        <f t="shared" si="22"/>
        <v>sa-19-3</v>
      </c>
      <c r="C1419" t="s">
        <v>308</v>
      </c>
      <c r="D1419" t="s">
        <v>67</v>
      </c>
      <c r="E1419">
        <v>2</v>
      </c>
      <c r="F1419" s="6">
        <f>VLOOKUP(D1419,Products!A$2:C$101,3,FALSE)*E1419</f>
        <v>64</v>
      </c>
      <c r="G1419" t="s">
        <v>397</v>
      </c>
    </row>
    <row r="1420" spans="1:7" x14ac:dyDescent="0.25">
      <c r="A1420" s="3">
        <v>44331</v>
      </c>
      <c r="B1420" s="2" t="str">
        <f t="shared" si="22"/>
        <v>sa-15-5</v>
      </c>
      <c r="C1420" t="s">
        <v>340</v>
      </c>
      <c r="D1420" t="s">
        <v>56</v>
      </c>
      <c r="E1420">
        <v>6</v>
      </c>
      <c r="F1420" s="6">
        <f>VLOOKUP(D1420,Products!A$2:C$101,3,FALSE)*E1420</f>
        <v>180</v>
      </c>
      <c r="G1420" t="s">
        <v>401</v>
      </c>
    </row>
    <row r="1421" spans="1:7" x14ac:dyDescent="0.25">
      <c r="A1421" s="3">
        <v>44371</v>
      </c>
      <c r="B1421" s="2" t="str">
        <f t="shared" si="22"/>
        <v>sa-24-6</v>
      </c>
      <c r="C1421" t="s">
        <v>343</v>
      </c>
      <c r="D1421" t="s">
        <v>82</v>
      </c>
      <c r="E1421">
        <v>6</v>
      </c>
      <c r="F1421" s="6">
        <f>VLOOKUP(D1421,Products!A$2:C$101,3,FALSE)*E1421</f>
        <v>192</v>
      </c>
      <c r="G1421" t="s">
        <v>407</v>
      </c>
    </row>
    <row r="1422" spans="1:7" x14ac:dyDescent="0.25">
      <c r="A1422" s="3">
        <v>43837</v>
      </c>
      <c r="B1422" s="2" t="str">
        <f t="shared" si="22"/>
        <v>sa-7-1</v>
      </c>
      <c r="C1422" t="s">
        <v>345</v>
      </c>
      <c r="D1422" t="s">
        <v>52</v>
      </c>
      <c r="E1422">
        <v>6</v>
      </c>
      <c r="F1422" s="6">
        <f>VLOOKUP(D1422,Products!A$2:C$101,3,FALSE)*E1422</f>
        <v>198</v>
      </c>
      <c r="G1422" t="s">
        <v>402</v>
      </c>
    </row>
    <row r="1423" spans="1:7" x14ac:dyDescent="0.25">
      <c r="A1423" s="3">
        <v>44296</v>
      </c>
      <c r="B1423" s="2" t="str">
        <f t="shared" si="22"/>
        <v>sa-10-4</v>
      </c>
      <c r="C1423" t="s">
        <v>345</v>
      </c>
      <c r="D1423" t="s">
        <v>84</v>
      </c>
      <c r="E1423">
        <v>3</v>
      </c>
      <c r="F1423" s="6">
        <f>VLOOKUP(D1423,Products!A$2:C$101,3,FALSE)*E1423</f>
        <v>105</v>
      </c>
      <c r="G1423" t="s">
        <v>396</v>
      </c>
    </row>
    <row r="1424" spans="1:7" x14ac:dyDescent="0.25">
      <c r="A1424" s="3">
        <v>44027</v>
      </c>
      <c r="B1424" s="2" t="str">
        <f t="shared" si="22"/>
        <v>sa-15-7</v>
      </c>
      <c r="C1424" t="s">
        <v>347</v>
      </c>
      <c r="D1424" t="s">
        <v>17</v>
      </c>
      <c r="E1424">
        <v>3</v>
      </c>
      <c r="F1424" s="6">
        <f>VLOOKUP(D1424,Products!A$2:C$101,3,FALSE)*E1424</f>
        <v>96</v>
      </c>
      <c r="G1424" t="s">
        <v>398</v>
      </c>
    </row>
    <row r="1425" spans="1:7" x14ac:dyDescent="0.25">
      <c r="A1425" s="3">
        <v>44454</v>
      </c>
      <c r="B1425" s="2" t="str">
        <f t="shared" si="22"/>
        <v>sa-15-9</v>
      </c>
      <c r="C1425" t="s">
        <v>355</v>
      </c>
      <c r="D1425" t="s">
        <v>11</v>
      </c>
      <c r="E1425">
        <v>6</v>
      </c>
      <c r="F1425" s="6">
        <f>VLOOKUP(D1425,Products!A$2:C$101,3,FALSE)*E1425</f>
        <v>468</v>
      </c>
      <c r="G1425" t="s">
        <v>402</v>
      </c>
    </row>
    <row r="1426" spans="1:7" x14ac:dyDescent="0.25">
      <c r="A1426" s="3">
        <v>44436</v>
      </c>
      <c r="B1426" s="2" t="str">
        <f t="shared" si="22"/>
        <v>sa-28-8</v>
      </c>
      <c r="C1426" t="s">
        <v>332</v>
      </c>
      <c r="D1426" t="s">
        <v>24</v>
      </c>
      <c r="E1426">
        <v>5</v>
      </c>
      <c r="F1426" s="6">
        <f>VLOOKUP(D1426,Products!A$2:C$101,3,FALSE)*E1426</f>
        <v>165</v>
      </c>
      <c r="G1426" t="s">
        <v>395</v>
      </c>
    </row>
    <row r="1427" spans="1:7" x14ac:dyDescent="0.25">
      <c r="A1427" s="3">
        <v>44127</v>
      </c>
      <c r="B1427" s="2" t="str">
        <f t="shared" si="22"/>
        <v>sa-23-10</v>
      </c>
      <c r="C1427" t="s">
        <v>341</v>
      </c>
      <c r="D1427" t="s">
        <v>31</v>
      </c>
      <c r="E1427">
        <v>6</v>
      </c>
      <c r="F1427" s="6">
        <f>VLOOKUP(D1427,Products!A$2:C$101,3,FALSE)*E1427</f>
        <v>192</v>
      </c>
      <c r="G1427" t="s">
        <v>396</v>
      </c>
    </row>
    <row r="1428" spans="1:7" x14ac:dyDescent="0.25">
      <c r="A1428" s="3">
        <v>43853</v>
      </c>
      <c r="B1428" s="2" t="str">
        <f t="shared" si="22"/>
        <v>sa-23-1</v>
      </c>
      <c r="C1428" t="s">
        <v>334</v>
      </c>
      <c r="D1428" t="s">
        <v>31</v>
      </c>
      <c r="E1428">
        <v>3</v>
      </c>
      <c r="F1428" s="6">
        <f>VLOOKUP(D1428,Products!A$2:C$101,3,FALSE)*E1428</f>
        <v>96</v>
      </c>
      <c r="G1428" t="s">
        <v>401</v>
      </c>
    </row>
    <row r="1429" spans="1:7" x14ac:dyDescent="0.25">
      <c r="A1429" s="3">
        <v>43895</v>
      </c>
      <c r="B1429" s="2" t="str">
        <f t="shared" si="22"/>
        <v>sa-5-3</v>
      </c>
      <c r="C1429" t="s">
        <v>324</v>
      </c>
      <c r="D1429" t="s">
        <v>2</v>
      </c>
      <c r="E1429">
        <v>5</v>
      </c>
      <c r="F1429" s="6">
        <f>VLOOKUP(D1429,Products!A$2:C$101,3,FALSE)*E1429</f>
        <v>330</v>
      </c>
      <c r="G1429" t="s">
        <v>396</v>
      </c>
    </row>
    <row r="1430" spans="1:7" x14ac:dyDescent="0.25">
      <c r="A1430" s="3">
        <v>43877</v>
      </c>
      <c r="B1430" s="2" t="str">
        <f t="shared" si="22"/>
        <v>sa-16-2</v>
      </c>
      <c r="C1430" t="s">
        <v>326</v>
      </c>
      <c r="D1430" t="s">
        <v>12</v>
      </c>
      <c r="E1430">
        <v>5</v>
      </c>
      <c r="F1430" s="6">
        <f>VLOOKUP(D1430,Products!A$2:C$101,3,FALSE)*E1430</f>
        <v>370</v>
      </c>
      <c r="G1430" t="s">
        <v>396</v>
      </c>
    </row>
    <row r="1431" spans="1:7" x14ac:dyDescent="0.25">
      <c r="A1431" s="3">
        <v>43971</v>
      </c>
      <c r="B1431" s="2" t="str">
        <f t="shared" si="22"/>
        <v>sa-20-5</v>
      </c>
      <c r="C1431" t="s">
        <v>316</v>
      </c>
      <c r="D1431" t="s">
        <v>41</v>
      </c>
      <c r="E1431">
        <v>2</v>
      </c>
      <c r="F1431" s="6">
        <f>VLOOKUP(D1431,Products!A$2:C$101,3,FALSE)*E1431</f>
        <v>66</v>
      </c>
      <c r="G1431" t="s">
        <v>405</v>
      </c>
    </row>
    <row r="1432" spans="1:7" x14ac:dyDescent="0.25">
      <c r="A1432" s="3">
        <v>44588</v>
      </c>
      <c r="B1432" s="2" t="str">
        <f t="shared" si="22"/>
        <v>sa-27-1</v>
      </c>
      <c r="C1432" t="s">
        <v>323</v>
      </c>
      <c r="D1432" t="s">
        <v>21</v>
      </c>
      <c r="E1432">
        <v>3</v>
      </c>
      <c r="F1432" s="6">
        <f>VLOOKUP(D1432,Products!A$2:C$101,3,FALSE)*E1432</f>
        <v>99</v>
      </c>
      <c r="G1432" t="s">
        <v>395</v>
      </c>
    </row>
    <row r="1433" spans="1:7" x14ac:dyDescent="0.25">
      <c r="A1433" s="3">
        <v>43860</v>
      </c>
      <c r="B1433" s="2" t="str">
        <f t="shared" si="22"/>
        <v>sa-30-1</v>
      </c>
      <c r="C1433" t="s">
        <v>326</v>
      </c>
      <c r="D1433" t="s">
        <v>28</v>
      </c>
      <c r="E1433">
        <v>5</v>
      </c>
      <c r="F1433" s="6">
        <f>VLOOKUP(D1433,Products!A$2:C$101,3,FALSE)*E1433</f>
        <v>150</v>
      </c>
      <c r="G1433" t="s">
        <v>403</v>
      </c>
    </row>
    <row r="1434" spans="1:7" x14ac:dyDescent="0.25">
      <c r="A1434" s="3">
        <v>43954</v>
      </c>
      <c r="B1434" s="2" t="str">
        <f t="shared" si="22"/>
        <v>sa-3-5</v>
      </c>
      <c r="C1434" t="s">
        <v>308</v>
      </c>
      <c r="D1434" t="s">
        <v>91</v>
      </c>
      <c r="E1434">
        <v>4</v>
      </c>
      <c r="F1434" s="6">
        <f>VLOOKUP(D1434,Products!A$2:C$101,3,FALSE)*E1434</f>
        <v>68</v>
      </c>
      <c r="G1434" t="s">
        <v>397</v>
      </c>
    </row>
    <row r="1435" spans="1:7" x14ac:dyDescent="0.25">
      <c r="A1435" s="3">
        <v>44417</v>
      </c>
      <c r="B1435" s="2" t="str">
        <f t="shared" si="22"/>
        <v>sa-9-8</v>
      </c>
      <c r="C1435" t="s">
        <v>353</v>
      </c>
      <c r="D1435" t="s">
        <v>83</v>
      </c>
      <c r="E1435">
        <v>5</v>
      </c>
      <c r="F1435" s="6">
        <f>VLOOKUP(D1435,Products!A$2:C$101,3,FALSE)*E1435</f>
        <v>150</v>
      </c>
      <c r="G1435" t="s">
        <v>395</v>
      </c>
    </row>
    <row r="1436" spans="1:7" x14ac:dyDescent="0.25">
      <c r="A1436" s="3">
        <v>44659</v>
      </c>
      <c r="B1436" s="2" t="str">
        <f t="shared" si="22"/>
        <v>sa-8-4</v>
      </c>
      <c r="C1436" t="s">
        <v>322</v>
      </c>
      <c r="D1436" t="s">
        <v>53</v>
      </c>
      <c r="E1436">
        <v>2</v>
      </c>
      <c r="F1436" s="6">
        <f>VLOOKUP(D1436,Products!A$2:C$101,3,FALSE)*E1436</f>
        <v>64</v>
      </c>
      <c r="G1436" t="s">
        <v>399</v>
      </c>
    </row>
    <row r="1437" spans="1:7" x14ac:dyDescent="0.25">
      <c r="A1437" s="3">
        <v>43937</v>
      </c>
      <c r="B1437" s="2" t="str">
        <f t="shared" si="22"/>
        <v>sa-16-4</v>
      </c>
      <c r="C1437" t="s">
        <v>316</v>
      </c>
      <c r="D1437" t="s">
        <v>66</v>
      </c>
      <c r="E1437">
        <v>3</v>
      </c>
      <c r="F1437" s="6">
        <f>VLOOKUP(D1437,Products!A$2:C$101,3,FALSE)*E1437</f>
        <v>90</v>
      </c>
      <c r="G1437" t="s">
        <v>396</v>
      </c>
    </row>
    <row r="1438" spans="1:7" x14ac:dyDescent="0.25">
      <c r="A1438" s="3">
        <v>44408</v>
      </c>
      <c r="B1438" s="2" t="str">
        <f t="shared" si="22"/>
        <v>sa-31-7</v>
      </c>
      <c r="C1438" t="s">
        <v>322</v>
      </c>
      <c r="D1438" t="s">
        <v>62</v>
      </c>
      <c r="E1438">
        <v>6</v>
      </c>
      <c r="F1438" s="6">
        <f>VLOOKUP(D1438,Products!A$2:C$101,3,FALSE)*E1438</f>
        <v>192</v>
      </c>
      <c r="G1438" t="s">
        <v>396</v>
      </c>
    </row>
    <row r="1439" spans="1:7" x14ac:dyDescent="0.25">
      <c r="A1439" s="3">
        <v>44562</v>
      </c>
      <c r="B1439" s="2" t="str">
        <f t="shared" si="22"/>
        <v>sa-1-1</v>
      </c>
      <c r="C1439" t="s">
        <v>343</v>
      </c>
      <c r="D1439" t="s">
        <v>54</v>
      </c>
      <c r="E1439">
        <v>5</v>
      </c>
      <c r="F1439" s="6">
        <f>VLOOKUP(D1439,Products!A$2:C$101,3,FALSE)*E1439</f>
        <v>175</v>
      </c>
      <c r="G1439" t="s">
        <v>395</v>
      </c>
    </row>
    <row r="1440" spans="1:7" x14ac:dyDescent="0.25">
      <c r="A1440" s="3">
        <v>43885</v>
      </c>
      <c r="B1440" s="2" t="str">
        <f t="shared" si="22"/>
        <v>sa-24-2</v>
      </c>
      <c r="C1440" t="s">
        <v>308</v>
      </c>
      <c r="D1440" t="s">
        <v>76</v>
      </c>
      <c r="E1440">
        <v>4</v>
      </c>
      <c r="F1440" s="6">
        <f>VLOOKUP(D1440,Products!A$2:C$101,3,FALSE)*E1440</f>
        <v>136</v>
      </c>
      <c r="G1440" t="s">
        <v>399</v>
      </c>
    </row>
    <row r="1441" spans="1:7" x14ac:dyDescent="0.25">
      <c r="A1441" s="3">
        <v>44259</v>
      </c>
      <c r="B1441" s="2" t="str">
        <f t="shared" si="22"/>
        <v>sa-4-3</v>
      </c>
      <c r="C1441" t="s">
        <v>325</v>
      </c>
      <c r="D1441" t="s">
        <v>71</v>
      </c>
      <c r="E1441">
        <v>2</v>
      </c>
      <c r="F1441" s="6">
        <f>VLOOKUP(D1441,Products!A$2:C$101,3,FALSE)*E1441</f>
        <v>68</v>
      </c>
      <c r="G1441" t="s">
        <v>404</v>
      </c>
    </row>
    <row r="1442" spans="1:7" x14ac:dyDescent="0.25">
      <c r="A1442" s="3">
        <v>44294</v>
      </c>
      <c r="B1442" s="2" t="str">
        <f t="shared" si="22"/>
        <v>sa-8-4</v>
      </c>
      <c r="C1442" t="s">
        <v>320</v>
      </c>
      <c r="D1442" t="s">
        <v>13</v>
      </c>
      <c r="E1442">
        <v>6</v>
      </c>
      <c r="F1442" s="6">
        <f>VLOOKUP(D1442,Products!A$2:C$101,3,FALSE)*E1442</f>
        <v>426</v>
      </c>
      <c r="G1442" t="s">
        <v>395</v>
      </c>
    </row>
    <row r="1443" spans="1:7" x14ac:dyDescent="0.25">
      <c r="A1443" s="3">
        <v>44067</v>
      </c>
      <c r="B1443" s="2" t="str">
        <f t="shared" si="22"/>
        <v>sa-24-8</v>
      </c>
      <c r="C1443" t="s">
        <v>307</v>
      </c>
      <c r="D1443" t="s">
        <v>12</v>
      </c>
      <c r="E1443">
        <v>3</v>
      </c>
      <c r="F1443" s="6">
        <f>VLOOKUP(D1443,Products!A$2:C$101,3,FALSE)*E1443</f>
        <v>222</v>
      </c>
      <c r="G1443" t="s">
        <v>402</v>
      </c>
    </row>
    <row r="1444" spans="1:7" x14ac:dyDescent="0.25">
      <c r="A1444" s="3">
        <v>44225</v>
      </c>
      <c r="B1444" s="2" t="str">
        <f t="shared" si="22"/>
        <v>sa-29-1</v>
      </c>
      <c r="C1444" t="s">
        <v>337</v>
      </c>
      <c r="D1444" t="s">
        <v>78</v>
      </c>
      <c r="E1444">
        <v>2</v>
      </c>
      <c r="F1444" s="6">
        <f>VLOOKUP(D1444,Products!A$2:C$101,3,FALSE)*E1444</f>
        <v>68</v>
      </c>
      <c r="G1444" t="s">
        <v>397</v>
      </c>
    </row>
    <row r="1445" spans="1:7" x14ac:dyDescent="0.25">
      <c r="A1445" s="3">
        <v>43961</v>
      </c>
      <c r="B1445" s="2" t="str">
        <f t="shared" si="22"/>
        <v>sa-10-5</v>
      </c>
      <c r="C1445" t="s">
        <v>313</v>
      </c>
      <c r="D1445" t="s">
        <v>5</v>
      </c>
      <c r="E1445">
        <v>3</v>
      </c>
      <c r="F1445" s="6">
        <f>VLOOKUP(D1445,Products!A$2:C$101,3,FALSE)*E1445</f>
        <v>240</v>
      </c>
      <c r="G1445" t="s">
        <v>404</v>
      </c>
    </row>
    <row r="1446" spans="1:7" x14ac:dyDescent="0.25">
      <c r="A1446" s="3">
        <v>43967</v>
      </c>
      <c r="B1446" s="2" t="str">
        <f t="shared" si="22"/>
        <v>sa-16-5</v>
      </c>
      <c r="C1446" t="s">
        <v>318</v>
      </c>
      <c r="D1446" t="s">
        <v>39</v>
      </c>
      <c r="E1446">
        <v>6</v>
      </c>
      <c r="F1446" s="6">
        <f>VLOOKUP(D1446,Products!A$2:C$101,3,FALSE)*E1446</f>
        <v>192</v>
      </c>
      <c r="G1446" t="s">
        <v>395</v>
      </c>
    </row>
    <row r="1447" spans="1:7" x14ac:dyDescent="0.25">
      <c r="A1447" s="3">
        <v>44098</v>
      </c>
      <c r="B1447" s="2" t="str">
        <f t="shared" si="22"/>
        <v>sa-24-9</v>
      </c>
      <c r="C1447" t="s">
        <v>355</v>
      </c>
      <c r="D1447" t="s">
        <v>52</v>
      </c>
      <c r="E1447">
        <v>5</v>
      </c>
      <c r="F1447" s="6">
        <f>VLOOKUP(D1447,Products!A$2:C$101,3,FALSE)*E1447</f>
        <v>165</v>
      </c>
      <c r="G1447" t="s">
        <v>406</v>
      </c>
    </row>
    <row r="1448" spans="1:7" x14ac:dyDescent="0.25">
      <c r="A1448" s="3">
        <v>43843</v>
      </c>
      <c r="B1448" s="2" t="str">
        <f t="shared" si="22"/>
        <v>sa-13-1</v>
      </c>
      <c r="C1448" t="s">
        <v>324</v>
      </c>
      <c r="D1448" t="s">
        <v>28</v>
      </c>
      <c r="E1448">
        <v>3</v>
      </c>
      <c r="F1448" s="6">
        <f>VLOOKUP(D1448,Products!A$2:C$101,3,FALSE)*E1448</f>
        <v>90</v>
      </c>
      <c r="G1448" t="s">
        <v>397</v>
      </c>
    </row>
    <row r="1449" spans="1:7" x14ac:dyDescent="0.25">
      <c r="A1449" s="3">
        <v>43997</v>
      </c>
      <c r="B1449" s="2" t="str">
        <f t="shared" si="22"/>
        <v>sa-15-6</v>
      </c>
      <c r="C1449" t="s">
        <v>335</v>
      </c>
      <c r="D1449" t="s">
        <v>14</v>
      </c>
      <c r="E1449">
        <v>6</v>
      </c>
      <c r="F1449" s="6">
        <f>VLOOKUP(D1449,Products!A$2:C$101,3,FALSE)*E1449</f>
        <v>474</v>
      </c>
      <c r="G1449" t="s">
        <v>396</v>
      </c>
    </row>
    <row r="1450" spans="1:7" x14ac:dyDescent="0.25">
      <c r="A1450" s="3">
        <v>44060</v>
      </c>
      <c r="B1450" s="2" t="str">
        <f t="shared" si="22"/>
        <v>sa-17-8</v>
      </c>
      <c r="C1450" t="s">
        <v>318</v>
      </c>
      <c r="D1450" t="s">
        <v>16</v>
      </c>
      <c r="E1450">
        <v>2</v>
      </c>
      <c r="F1450" s="6">
        <f>VLOOKUP(D1450,Products!A$2:C$101,3,FALSE)*E1450</f>
        <v>60</v>
      </c>
      <c r="G1450" t="s">
        <v>404</v>
      </c>
    </row>
    <row r="1451" spans="1:7" x14ac:dyDescent="0.25">
      <c r="A1451" s="3">
        <v>44067</v>
      </c>
      <c r="B1451" s="2" t="str">
        <f t="shared" si="22"/>
        <v>sa-24-8</v>
      </c>
      <c r="C1451" t="s">
        <v>349</v>
      </c>
      <c r="D1451" t="s">
        <v>35</v>
      </c>
      <c r="E1451">
        <v>6</v>
      </c>
      <c r="F1451" s="6">
        <f>VLOOKUP(D1451,Products!A$2:C$101,3,FALSE)*E1451</f>
        <v>180</v>
      </c>
      <c r="G1451" t="s">
        <v>403</v>
      </c>
    </row>
    <row r="1452" spans="1:7" x14ac:dyDescent="0.25">
      <c r="A1452" s="3">
        <v>44259</v>
      </c>
      <c r="B1452" s="2" t="str">
        <f t="shared" si="22"/>
        <v>sa-4-3</v>
      </c>
      <c r="C1452" t="s">
        <v>320</v>
      </c>
      <c r="D1452" t="s">
        <v>15</v>
      </c>
      <c r="E1452">
        <v>6</v>
      </c>
      <c r="F1452" s="6">
        <f>VLOOKUP(D1452,Products!A$2:C$101,3,FALSE)*E1452</f>
        <v>210</v>
      </c>
      <c r="G1452" t="s">
        <v>407</v>
      </c>
    </row>
    <row r="1453" spans="1:7" x14ac:dyDescent="0.25">
      <c r="A1453" s="3">
        <v>43931</v>
      </c>
      <c r="B1453" s="2" t="str">
        <f t="shared" si="22"/>
        <v>sa-10-4</v>
      </c>
      <c r="C1453" t="s">
        <v>326</v>
      </c>
      <c r="D1453" t="s">
        <v>12</v>
      </c>
      <c r="E1453">
        <v>5</v>
      </c>
      <c r="F1453" s="6">
        <f>VLOOKUP(D1453,Products!A$2:C$101,3,FALSE)*E1453</f>
        <v>370</v>
      </c>
      <c r="G1453" t="s">
        <v>404</v>
      </c>
    </row>
    <row r="1454" spans="1:7" x14ac:dyDescent="0.25">
      <c r="A1454" s="3">
        <v>44533</v>
      </c>
      <c r="B1454" s="2" t="str">
        <f t="shared" si="22"/>
        <v>sa-3-12</v>
      </c>
      <c r="C1454" t="s">
        <v>342</v>
      </c>
      <c r="D1454" t="s">
        <v>59</v>
      </c>
      <c r="E1454">
        <v>2</v>
      </c>
      <c r="F1454" s="6">
        <f>VLOOKUP(D1454,Products!A$2:C$101,3,FALSE)*E1454</f>
        <v>70</v>
      </c>
      <c r="G1454" t="s">
        <v>404</v>
      </c>
    </row>
    <row r="1455" spans="1:7" x14ac:dyDescent="0.25">
      <c r="A1455" s="3">
        <v>44672</v>
      </c>
      <c r="B1455" s="2" t="str">
        <f t="shared" si="22"/>
        <v>sa-21-4</v>
      </c>
      <c r="C1455" t="s">
        <v>326</v>
      </c>
      <c r="D1455" t="s">
        <v>86</v>
      </c>
      <c r="E1455">
        <v>2</v>
      </c>
      <c r="F1455" s="6">
        <f>VLOOKUP(D1455,Products!A$2:C$101,3,FALSE)*E1455</f>
        <v>68</v>
      </c>
      <c r="G1455" t="s">
        <v>398</v>
      </c>
    </row>
    <row r="1456" spans="1:7" x14ac:dyDescent="0.25">
      <c r="A1456" s="3">
        <v>44383</v>
      </c>
      <c r="B1456" s="2" t="str">
        <f t="shared" si="22"/>
        <v>sa-6-7</v>
      </c>
      <c r="C1456" t="s">
        <v>346</v>
      </c>
      <c r="D1456" t="s">
        <v>95</v>
      </c>
      <c r="E1456">
        <v>5</v>
      </c>
      <c r="F1456" s="6">
        <f>VLOOKUP(D1456,Products!A$2:C$101,3,FALSE)*E1456</f>
        <v>60</v>
      </c>
      <c r="G1456" t="s">
        <v>399</v>
      </c>
    </row>
    <row r="1457" spans="1:7" x14ac:dyDescent="0.25">
      <c r="A1457" s="3">
        <v>44742</v>
      </c>
      <c r="B1457" s="2" t="str">
        <f t="shared" si="22"/>
        <v>sa-30-6</v>
      </c>
      <c r="C1457" t="s">
        <v>349</v>
      </c>
      <c r="D1457" t="s">
        <v>72</v>
      </c>
      <c r="E1457">
        <v>5</v>
      </c>
      <c r="F1457" s="6">
        <f>VLOOKUP(D1457,Products!A$2:C$101,3,FALSE)*E1457</f>
        <v>155</v>
      </c>
      <c r="G1457" t="s">
        <v>401</v>
      </c>
    </row>
    <row r="1458" spans="1:7" x14ac:dyDescent="0.25">
      <c r="A1458" s="3">
        <v>44178</v>
      </c>
      <c r="B1458" s="2" t="str">
        <f t="shared" si="22"/>
        <v>sa-13-12</v>
      </c>
      <c r="C1458" t="s">
        <v>349</v>
      </c>
      <c r="D1458" t="s">
        <v>90</v>
      </c>
      <c r="E1458">
        <v>5</v>
      </c>
      <c r="F1458" s="6">
        <f>VLOOKUP(D1458,Products!A$2:C$101,3,FALSE)*E1458</f>
        <v>50</v>
      </c>
      <c r="G1458" t="s">
        <v>407</v>
      </c>
    </row>
    <row r="1459" spans="1:7" x14ac:dyDescent="0.25">
      <c r="A1459" s="3">
        <v>44726</v>
      </c>
      <c r="B1459" s="2" t="str">
        <f t="shared" si="22"/>
        <v>sa-14-6</v>
      </c>
      <c r="C1459" t="s">
        <v>325</v>
      </c>
      <c r="D1459" t="s">
        <v>93</v>
      </c>
      <c r="E1459">
        <v>5</v>
      </c>
      <c r="F1459" s="6">
        <f>VLOOKUP(D1459,Products!A$2:C$101,3,FALSE)*E1459</f>
        <v>85</v>
      </c>
      <c r="G1459" t="s">
        <v>401</v>
      </c>
    </row>
    <row r="1460" spans="1:7" x14ac:dyDescent="0.25">
      <c r="A1460" s="3">
        <v>44116</v>
      </c>
      <c r="B1460" s="2" t="str">
        <f t="shared" si="22"/>
        <v>sa-12-10</v>
      </c>
      <c r="C1460" t="s">
        <v>347</v>
      </c>
      <c r="D1460" t="s">
        <v>52</v>
      </c>
      <c r="E1460">
        <v>3</v>
      </c>
      <c r="F1460" s="6">
        <f>VLOOKUP(D1460,Products!A$2:C$101,3,FALSE)*E1460</f>
        <v>99</v>
      </c>
      <c r="G1460" t="s">
        <v>398</v>
      </c>
    </row>
    <row r="1461" spans="1:7" x14ac:dyDescent="0.25">
      <c r="A1461" s="3">
        <v>44160</v>
      </c>
      <c r="B1461" s="2" t="str">
        <f t="shared" si="22"/>
        <v>sa-25-11</v>
      </c>
      <c r="C1461" t="s">
        <v>313</v>
      </c>
      <c r="D1461" t="s">
        <v>96</v>
      </c>
      <c r="E1461">
        <v>4</v>
      </c>
      <c r="F1461" s="6">
        <f>VLOOKUP(D1461,Products!A$2:C$101,3,FALSE)*E1461</f>
        <v>40</v>
      </c>
      <c r="G1461" t="s">
        <v>408</v>
      </c>
    </row>
    <row r="1462" spans="1:7" x14ac:dyDescent="0.25">
      <c r="A1462" s="3">
        <v>44320</v>
      </c>
      <c r="B1462" s="2" t="str">
        <f t="shared" si="22"/>
        <v>sa-4-5</v>
      </c>
      <c r="C1462" t="s">
        <v>332</v>
      </c>
      <c r="D1462" t="s">
        <v>90</v>
      </c>
      <c r="E1462">
        <v>3</v>
      </c>
      <c r="F1462" s="6">
        <f>VLOOKUP(D1462,Products!A$2:C$101,3,FALSE)*E1462</f>
        <v>30</v>
      </c>
      <c r="G1462" t="s">
        <v>398</v>
      </c>
    </row>
    <row r="1463" spans="1:7" x14ac:dyDescent="0.25">
      <c r="A1463" s="3">
        <v>44511</v>
      </c>
      <c r="B1463" s="2" t="str">
        <f t="shared" si="22"/>
        <v>sa-11-11</v>
      </c>
      <c r="C1463" t="s">
        <v>327</v>
      </c>
      <c r="D1463" t="s">
        <v>101</v>
      </c>
      <c r="E1463">
        <v>6</v>
      </c>
      <c r="F1463" s="6">
        <f>VLOOKUP(D1463,Products!A$2:C$101,3,FALSE)*E1463</f>
        <v>60</v>
      </c>
      <c r="G1463" t="s">
        <v>407</v>
      </c>
    </row>
    <row r="1464" spans="1:7" x14ac:dyDescent="0.25">
      <c r="A1464" s="3">
        <v>43889</v>
      </c>
      <c r="B1464" s="2" t="str">
        <f t="shared" si="22"/>
        <v>sa-28-2</v>
      </c>
      <c r="C1464" t="s">
        <v>312</v>
      </c>
      <c r="D1464" t="s">
        <v>34</v>
      </c>
      <c r="E1464">
        <v>6</v>
      </c>
      <c r="F1464" s="6">
        <f>VLOOKUP(D1464,Products!A$2:C$101,3,FALSE)*E1464</f>
        <v>210</v>
      </c>
      <c r="G1464" t="s">
        <v>407</v>
      </c>
    </row>
    <row r="1465" spans="1:7" x14ac:dyDescent="0.25">
      <c r="A1465" s="3">
        <v>44227</v>
      </c>
      <c r="B1465" s="2" t="str">
        <f t="shared" si="22"/>
        <v>sa-31-1</v>
      </c>
      <c r="C1465" t="s">
        <v>343</v>
      </c>
      <c r="D1465" t="s">
        <v>25</v>
      </c>
      <c r="E1465">
        <v>6</v>
      </c>
      <c r="F1465" s="6">
        <f>VLOOKUP(D1465,Products!A$2:C$101,3,FALSE)*E1465</f>
        <v>198</v>
      </c>
      <c r="G1465" t="s">
        <v>402</v>
      </c>
    </row>
    <row r="1466" spans="1:7" x14ac:dyDescent="0.25">
      <c r="A1466" s="3">
        <v>44559</v>
      </c>
      <c r="B1466" s="2" t="str">
        <f t="shared" si="22"/>
        <v>sa-29-12</v>
      </c>
      <c r="C1466" t="s">
        <v>324</v>
      </c>
      <c r="D1466" t="s">
        <v>80</v>
      </c>
      <c r="E1466">
        <v>4</v>
      </c>
      <c r="F1466" s="6">
        <f>VLOOKUP(D1466,Products!A$2:C$101,3,FALSE)*E1466</f>
        <v>124</v>
      </c>
      <c r="G1466" t="s">
        <v>396</v>
      </c>
    </row>
    <row r="1467" spans="1:7" x14ac:dyDescent="0.25">
      <c r="A1467" s="3">
        <v>44664</v>
      </c>
      <c r="B1467" s="2" t="str">
        <f t="shared" si="22"/>
        <v>sa-13-4</v>
      </c>
      <c r="C1467" t="s">
        <v>345</v>
      </c>
      <c r="D1467" t="s">
        <v>45</v>
      </c>
      <c r="E1467">
        <v>4</v>
      </c>
      <c r="F1467" s="6">
        <f>VLOOKUP(D1467,Products!A$2:C$101,3,FALSE)*E1467</f>
        <v>120</v>
      </c>
      <c r="G1467" t="s">
        <v>408</v>
      </c>
    </row>
    <row r="1468" spans="1:7" x14ac:dyDescent="0.25">
      <c r="A1468" s="3">
        <v>44023</v>
      </c>
      <c r="B1468" s="2" t="str">
        <f t="shared" si="22"/>
        <v>sa-11-7</v>
      </c>
      <c r="C1468" t="s">
        <v>343</v>
      </c>
      <c r="D1468" t="s">
        <v>45</v>
      </c>
      <c r="E1468">
        <v>2</v>
      </c>
      <c r="F1468" s="6">
        <f>VLOOKUP(D1468,Products!A$2:C$101,3,FALSE)*E1468</f>
        <v>60</v>
      </c>
      <c r="G1468" t="s">
        <v>397</v>
      </c>
    </row>
    <row r="1469" spans="1:7" x14ac:dyDescent="0.25">
      <c r="A1469" s="3">
        <v>44660</v>
      </c>
      <c r="B1469" s="2" t="str">
        <f t="shared" si="22"/>
        <v>sa-9-4</v>
      </c>
      <c r="C1469" t="s">
        <v>351</v>
      </c>
      <c r="D1469" t="s">
        <v>69</v>
      </c>
      <c r="E1469">
        <v>3</v>
      </c>
      <c r="F1469" s="6">
        <f>VLOOKUP(D1469,Products!A$2:C$101,3,FALSE)*E1469</f>
        <v>90</v>
      </c>
      <c r="G1469" t="s">
        <v>396</v>
      </c>
    </row>
    <row r="1470" spans="1:7" x14ac:dyDescent="0.25">
      <c r="A1470" s="3">
        <v>44530</v>
      </c>
      <c r="B1470" s="2" t="str">
        <f t="shared" si="22"/>
        <v>sa-30-11</v>
      </c>
      <c r="C1470" t="s">
        <v>344</v>
      </c>
      <c r="D1470" t="s">
        <v>53</v>
      </c>
      <c r="E1470">
        <v>2</v>
      </c>
      <c r="F1470" s="6">
        <f>VLOOKUP(D1470,Products!A$2:C$101,3,FALSE)*E1470</f>
        <v>64</v>
      </c>
      <c r="G1470" t="s">
        <v>400</v>
      </c>
    </row>
    <row r="1471" spans="1:7" x14ac:dyDescent="0.25">
      <c r="A1471" s="3">
        <v>44394</v>
      </c>
      <c r="B1471" s="2" t="str">
        <f t="shared" si="22"/>
        <v>sa-17-7</v>
      </c>
      <c r="C1471" t="s">
        <v>346</v>
      </c>
      <c r="D1471" t="s">
        <v>62</v>
      </c>
      <c r="E1471">
        <v>5</v>
      </c>
      <c r="F1471" s="6">
        <f>VLOOKUP(D1471,Products!A$2:C$101,3,FALSE)*E1471</f>
        <v>160</v>
      </c>
      <c r="G1471" t="s">
        <v>405</v>
      </c>
    </row>
    <row r="1472" spans="1:7" x14ac:dyDescent="0.25">
      <c r="A1472" s="3">
        <v>44709</v>
      </c>
      <c r="B1472" s="2" t="str">
        <f t="shared" si="22"/>
        <v>sa-28-5</v>
      </c>
      <c r="C1472" t="s">
        <v>316</v>
      </c>
      <c r="D1472" t="s">
        <v>66</v>
      </c>
      <c r="E1472">
        <v>6</v>
      </c>
      <c r="F1472" s="6">
        <f>VLOOKUP(D1472,Products!A$2:C$101,3,FALSE)*E1472</f>
        <v>180</v>
      </c>
      <c r="G1472" t="s">
        <v>395</v>
      </c>
    </row>
    <row r="1473" spans="1:7" x14ac:dyDescent="0.25">
      <c r="A1473" s="3">
        <v>44137</v>
      </c>
      <c r="B1473" s="2" t="str">
        <f t="shared" si="22"/>
        <v>sa-2-11</v>
      </c>
      <c r="C1473" t="s">
        <v>339</v>
      </c>
      <c r="D1473" t="s">
        <v>65</v>
      </c>
      <c r="E1473">
        <v>4</v>
      </c>
      <c r="F1473" s="6">
        <f>VLOOKUP(D1473,Products!A$2:C$101,3,FALSE)*E1473</f>
        <v>128</v>
      </c>
      <c r="G1473" t="s">
        <v>401</v>
      </c>
    </row>
    <row r="1474" spans="1:7" x14ac:dyDescent="0.25">
      <c r="A1474" s="3">
        <v>44231</v>
      </c>
      <c r="B1474" s="2" t="str">
        <f t="shared" si="22"/>
        <v>sa-4-2</v>
      </c>
      <c r="C1474" t="s">
        <v>325</v>
      </c>
      <c r="D1474" t="s">
        <v>19</v>
      </c>
      <c r="E1474">
        <v>4</v>
      </c>
      <c r="F1474" s="6">
        <f>VLOOKUP(D1474,Products!A$2:C$101,3,FALSE)*E1474</f>
        <v>132</v>
      </c>
      <c r="G1474" t="s">
        <v>405</v>
      </c>
    </row>
    <row r="1475" spans="1:7" x14ac:dyDescent="0.25">
      <c r="A1475" s="3">
        <v>43955</v>
      </c>
      <c r="B1475" s="2" t="str">
        <f t="shared" ref="B1475:B1538" si="23">"sa-"&amp;DAY(A1475)&amp;"-"&amp;MONTH(A1475)</f>
        <v>sa-4-5</v>
      </c>
      <c r="C1475" t="s">
        <v>320</v>
      </c>
      <c r="D1475" t="s">
        <v>97</v>
      </c>
      <c r="E1475">
        <v>4</v>
      </c>
      <c r="F1475" s="6">
        <f>VLOOKUP(D1475,Products!A$2:C$101,3,FALSE)*E1475</f>
        <v>40</v>
      </c>
      <c r="G1475" t="s">
        <v>399</v>
      </c>
    </row>
    <row r="1476" spans="1:7" x14ac:dyDescent="0.25">
      <c r="A1476" s="3">
        <v>44716</v>
      </c>
      <c r="B1476" s="2" t="str">
        <f t="shared" si="23"/>
        <v>sa-4-6</v>
      </c>
      <c r="C1476" t="s">
        <v>354</v>
      </c>
      <c r="D1476" t="s">
        <v>80</v>
      </c>
      <c r="E1476">
        <v>6</v>
      </c>
      <c r="F1476" s="6">
        <f>VLOOKUP(D1476,Products!A$2:C$101,3,FALSE)*E1476</f>
        <v>186</v>
      </c>
      <c r="G1476" t="s">
        <v>405</v>
      </c>
    </row>
    <row r="1477" spans="1:7" x14ac:dyDescent="0.25">
      <c r="A1477" s="3">
        <v>44372</v>
      </c>
      <c r="B1477" s="2" t="str">
        <f t="shared" si="23"/>
        <v>sa-25-6</v>
      </c>
      <c r="C1477" t="s">
        <v>334</v>
      </c>
      <c r="D1477" t="s">
        <v>81</v>
      </c>
      <c r="E1477">
        <v>6</v>
      </c>
      <c r="F1477" s="6">
        <f>VLOOKUP(D1477,Products!A$2:C$101,3,FALSE)*E1477</f>
        <v>192</v>
      </c>
      <c r="G1477" t="s">
        <v>401</v>
      </c>
    </row>
    <row r="1478" spans="1:7" x14ac:dyDescent="0.25">
      <c r="A1478" s="3">
        <v>44550</v>
      </c>
      <c r="B1478" s="2" t="str">
        <f t="shared" si="23"/>
        <v>sa-20-12</v>
      </c>
      <c r="C1478" t="s">
        <v>332</v>
      </c>
      <c r="D1478" t="s">
        <v>13</v>
      </c>
      <c r="E1478">
        <v>6</v>
      </c>
      <c r="F1478" s="6">
        <f>VLOOKUP(D1478,Products!A$2:C$101,3,FALSE)*E1478</f>
        <v>426</v>
      </c>
      <c r="G1478" t="s">
        <v>399</v>
      </c>
    </row>
    <row r="1479" spans="1:7" x14ac:dyDescent="0.25">
      <c r="A1479" s="3">
        <v>44376</v>
      </c>
      <c r="B1479" s="2" t="str">
        <f t="shared" si="23"/>
        <v>sa-29-6</v>
      </c>
      <c r="C1479" t="s">
        <v>353</v>
      </c>
      <c r="D1479" t="s">
        <v>70</v>
      </c>
      <c r="E1479">
        <v>5</v>
      </c>
      <c r="F1479" s="6">
        <f>VLOOKUP(D1479,Products!A$2:C$101,3,FALSE)*E1479</f>
        <v>175</v>
      </c>
      <c r="G1479" t="s">
        <v>405</v>
      </c>
    </row>
    <row r="1480" spans="1:7" x14ac:dyDescent="0.25">
      <c r="A1480" s="3">
        <v>44298</v>
      </c>
      <c r="B1480" s="2" t="str">
        <f t="shared" si="23"/>
        <v>sa-12-4</v>
      </c>
      <c r="C1480" t="s">
        <v>316</v>
      </c>
      <c r="D1480" t="s">
        <v>64</v>
      </c>
      <c r="E1480">
        <v>2</v>
      </c>
      <c r="F1480" s="6">
        <f>VLOOKUP(D1480,Products!A$2:C$101,3,FALSE)*E1480</f>
        <v>70</v>
      </c>
      <c r="G1480" t="s">
        <v>401</v>
      </c>
    </row>
    <row r="1481" spans="1:7" x14ac:dyDescent="0.25">
      <c r="A1481" s="3">
        <v>44248</v>
      </c>
      <c r="B1481" s="2" t="str">
        <f t="shared" si="23"/>
        <v>sa-21-2</v>
      </c>
      <c r="C1481" t="s">
        <v>320</v>
      </c>
      <c r="D1481" t="s">
        <v>57</v>
      </c>
      <c r="E1481">
        <v>4</v>
      </c>
      <c r="F1481" s="6">
        <f>VLOOKUP(D1481,Products!A$2:C$101,3,FALSE)*E1481</f>
        <v>140</v>
      </c>
      <c r="G1481" t="s">
        <v>399</v>
      </c>
    </row>
    <row r="1482" spans="1:7" x14ac:dyDescent="0.25">
      <c r="A1482" s="3">
        <v>44252</v>
      </c>
      <c r="B1482" s="2" t="str">
        <f t="shared" si="23"/>
        <v>sa-25-2</v>
      </c>
      <c r="C1482" t="s">
        <v>309</v>
      </c>
      <c r="D1482" t="s">
        <v>56</v>
      </c>
      <c r="E1482">
        <v>6</v>
      </c>
      <c r="F1482" s="6">
        <f>VLOOKUP(D1482,Products!A$2:C$101,3,FALSE)*E1482</f>
        <v>180</v>
      </c>
      <c r="G1482" t="s">
        <v>406</v>
      </c>
    </row>
    <row r="1483" spans="1:7" x14ac:dyDescent="0.25">
      <c r="A1483" s="3">
        <v>44074</v>
      </c>
      <c r="B1483" s="2" t="str">
        <f t="shared" si="23"/>
        <v>sa-31-8</v>
      </c>
      <c r="C1483" t="s">
        <v>324</v>
      </c>
      <c r="D1483" t="s">
        <v>5</v>
      </c>
      <c r="E1483">
        <v>3</v>
      </c>
      <c r="F1483" s="6">
        <f>VLOOKUP(D1483,Products!A$2:C$101,3,FALSE)*E1483</f>
        <v>240</v>
      </c>
      <c r="G1483" t="s">
        <v>399</v>
      </c>
    </row>
    <row r="1484" spans="1:7" x14ac:dyDescent="0.25">
      <c r="A1484" s="3">
        <v>44385</v>
      </c>
      <c r="B1484" s="2" t="str">
        <f t="shared" si="23"/>
        <v>sa-8-7</v>
      </c>
      <c r="C1484" t="s">
        <v>347</v>
      </c>
      <c r="D1484" t="s">
        <v>33</v>
      </c>
      <c r="E1484">
        <v>5</v>
      </c>
      <c r="F1484" s="6">
        <f>VLOOKUP(D1484,Products!A$2:C$101,3,FALSE)*E1484</f>
        <v>165</v>
      </c>
      <c r="G1484" t="s">
        <v>398</v>
      </c>
    </row>
    <row r="1485" spans="1:7" x14ac:dyDescent="0.25">
      <c r="A1485" s="3">
        <v>44225</v>
      </c>
      <c r="B1485" s="2" t="str">
        <f t="shared" si="23"/>
        <v>sa-29-1</v>
      </c>
      <c r="C1485" t="s">
        <v>325</v>
      </c>
      <c r="D1485" t="s">
        <v>50</v>
      </c>
      <c r="E1485">
        <v>6</v>
      </c>
      <c r="F1485" s="6">
        <f>VLOOKUP(D1485,Products!A$2:C$101,3,FALSE)*E1485</f>
        <v>192</v>
      </c>
      <c r="G1485" t="s">
        <v>395</v>
      </c>
    </row>
    <row r="1486" spans="1:7" x14ac:dyDescent="0.25">
      <c r="A1486" s="3">
        <v>44375</v>
      </c>
      <c r="B1486" s="2" t="str">
        <f t="shared" si="23"/>
        <v>sa-28-6</v>
      </c>
      <c r="C1486" t="s">
        <v>343</v>
      </c>
      <c r="D1486" t="s">
        <v>99</v>
      </c>
      <c r="E1486">
        <v>5</v>
      </c>
      <c r="F1486" s="6">
        <f>VLOOKUP(D1486,Products!A$2:C$101,3,FALSE)*E1486</f>
        <v>75</v>
      </c>
      <c r="G1486" t="s">
        <v>408</v>
      </c>
    </row>
    <row r="1487" spans="1:7" x14ac:dyDescent="0.25">
      <c r="A1487" s="3">
        <v>44225</v>
      </c>
      <c r="B1487" s="2" t="str">
        <f t="shared" si="23"/>
        <v>sa-29-1</v>
      </c>
      <c r="C1487" t="s">
        <v>333</v>
      </c>
      <c r="D1487" t="s">
        <v>9</v>
      </c>
      <c r="E1487">
        <v>4</v>
      </c>
      <c r="F1487" s="6">
        <f>VLOOKUP(D1487,Products!A$2:C$101,3,FALSE)*E1487</f>
        <v>320</v>
      </c>
      <c r="G1487" t="s">
        <v>404</v>
      </c>
    </row>
    <row r="1488" spans="1:7" x14ac:dyDescent="0.25">
      <c r="A1488" s="3">
        <v>44279</v>
      </c>
      <c r="B1488" s="2" t="str">
        <f t="shared" si="23"/>
        <v>sa-24-3</v>
      </c>
      <c r="C1488" t="s">
        <v>316</v>
      </c>
      <c r="D1488" t="s">
        <v>76</v>
      </c>
      <c r="E1488">
        <v>3</v>
      </c>
      <c r="F1488" s="6">
        <f>VLOOKUP(D1488,Products!A$2:C$101,3,FALSE)*E1488</f>
        <v>102</v>
      </c>
      <c r="G1488" t="s">
        <v>396</v>
      </c>
    </row>
    <row r="1489" spans="1:7" x14ac:dyDescent="0.25">
      <c r="A1489" s="3">
        <v>44267</v>
      </c>
      <c r="B1489" s="2" t="str">
        <f t="shared" si="23"/>
        <v>sa-12-3</v>
      </c>
      <c r="C1489" t="s">
        <v>326</v>
      </c>
      <c r="D1489" t="s">
        <v>100</v>
      </c>
      <c r="E1489">
        <v>6</v>
      </c>
      <c r="F1489" s="6">
        <f>VLOOKUP(D1489,Products!A$2:C$101,3,FALSE)*E1489</f>
        <v>90</v>
      </c>
      <c r="G1489" t="s">
        <v>405</v>
      </c>
    </row>
    <row r="1490" spans="1:7" x14ac:dyDescent="0.25">
      <c r="A1490" s="3">
        <v>44070</v>
      </c>
      <c r="B1490" s="2" t="str">
        <f t="shared" si="23"/>
        <v>sa-27-8</v>
      </c>
      <c r="C1490" t="s">
        <v>336</v>
      </c>
      <c r="D1490" t="s">
        <v>50</v>
      </c>
      <c r="E1490">
        <v>3</v>
      </c>
      <c r="F1490" s="6">
        <f>VLOOKUP(D1490,Products!A$2:C$101,3,FALSE)*E1490</f>
        <v>96</v>
      </c>
      <c r="G1490" t="s">
        <v>407</v>
      </c>
    </row>
    <row r="1491" spans="1:7" x14ac:dyDescent="0.25">
      <c r="A1491" s="3">
        <v>44709</v>
      </c>
      <c r="B1491" s="2" t="str">
        <f t="shared" si="23"/>
        <v>sa-28-5</v>
      </c>
      <c r="C1491" t="s">
        <v>338</v>
      </c>
      <c r="D1491" t="s">
        <v>36</v>
      </c>
      <c r="E1491">
        <v>4</v>
      </c>
      <c r="F1491" s="6">
        <f>VLOOKUP(D1491,Products!A$2:C$101,3,FALSE)*E1491</f>
        <v>136</v>
      </c>
      <c r="G1491" t="s">
        <v>403</v>
      </c>
    </row>
    <row r="1492" spans="1:7" x14ac:dyDescent="0.25">
      <c r="A1492" s="3">
        <v>44159</v>
      </c>
      <c r="B1492" s="2" t="str">
        <f t="shared" si="23"/>
        <v>sa-24-11</v>
      </c>
      <c r="C1492" t="s">
        <v>340</v>
      </c>
      <c r="D1492" t="s">
        <v>67</v>
      </c>
      <c r="E1492">
        <v>5</v>
      </c>
      <c r="F1492" s="6">
        <f>VLOOKUP(D1492,Products!A$2:C$101,3,FALSE)*E1492</f>
        <v>160</v>
      </c>
      <c r="G1492" t="s">
        <v>397</v>
      </c>
    </row>
    <row r="1493" spans="1:7" x14ac:dyDescent="0.25">
      <c r="A1493" s="3">
        <v>44409</v>
      </c>
      <c r="B1493" s="2" t="str">
        <f t="shared" si="23"/>
        <v>sa-1-8</v>
      </c>
      <c r="C1493" t="s">
        <v>317</v>
      </c>
      <c r="D1493" t="s">
        <v>78</v>
      </c>
      <c r="E1493">
        <v>2</v>
      </c>
      <c r="F1493" s="6">
        <f>VLOOKUP(D1493,Products!A$2:C$101,3,FALSE)*E1493</f>
        <v>68</v>
      </c>
      <c r="G1493" t="s">
        <v>406</v>
      </c>
    </row>
    <row r="1494" spans="1:7" x14ac:dyDescent="0.25">
      <c r="A1494" s="3">
        <v>44343</v>
      </c>
      <c r="B1494" s="2" t="str">
        <f t="shared" si="23"/>
        <v>sa-27-5</v>
      </c>
      <c r="C1494" t="s">
        <v>307</v>
      </c>
      <c r="D1494" t="s">
        <v>38</v>
      </c>
      <c r="E1494">
        <v>6</v>
      </c>
      <c r="F1494" s="6">
        <f>VLOOKUP(D1494,Products!A$2:C$101,3,FALSE)*E1494</f>
        <v>192</v>
      </c>
      <c r="G1494" t="s">
        <v>397</v>
      </c>
    </row>
    <row r="1495" spans="1:7" x14ac:dyDescent="0.25">
      <c r="A1495" s="3">
        <v>44121</v>
      </c>
      <c r="B1495" s="2" t="str">
        <f t="shared" si="23"/>
        <v>sa-17-10</v>
      </c>
      <c r="C1495" t="s">
        <v>321</v>
      </c>
      <c r="D1495" t="s">
        <v>73</v>
      </c>
      <c r="E1495">
        <v>3</v>
      </c>
      <c r="F1495" s="6">
        <f>VLOOKUP(D1495,Products!A$2:C$101,3,FALSE)*E1495</f>
        <v>105</v>
      </c>
      <c r="G1495" t="s">
        <v>404</v>
      </c>
    </row>
    <row r="1496" spans="1:7" x14ac:dyDescent="0.25">
      <c r="A1496" s="3">
        <v>44471</v>
      </c>
      <c r="B1496" s="2" t="str">
        <f t="shared" si="23"/>
        <v>sa-2-10</v>
      </c>
      <c r="C1496" t="s">
        <v>355</v>
      </c>
      <c r="D1496" t="s">
        <v>42</v>
      </c>
      <c r="E1496">
        <v>5</v>
      </c>
      <c r="F1496" s="6">
        <f>VLOOKUP(D1496,Products!A$2:C$101,3,FALSE)*E1496</f>
        <v>170</v>
      </c>
      <c r="G1496" t="s">
        <v>400</v>
      </c>
    </row>
    <row r="1497" spans="1:7" x14ac:dyDescent="0.25">
      <c r="A1497" s="3">
        <v>44334</v>
      </c>
      <c r="B1497" s="2" t="str">
        <f t="shared" si="23"/>
        <v>sa-18-5</v>
      </c>
      <c r="C1497" t="s">
        <v>315</v>
      </c>
      <c r="D1497" t="s">
        <v>90</v>
      </c>
      <c r="E1497">
        <v>4</v>
      </c>
      <c r="F1497" s="6">
        <f>VLOOKUP(D1497,Products!A$2:C$101,3,FALSE)*E1497</f>
        <v>40</v>
      </c>
      <c r="G1497" t="s">
        <v>399</v>
      </c>
    </row>
    <row r="1498" spans="1:7" x14ac:dyDescent="0.25">
      <c r="A1498" s="3">
        <v>43999</v>
      </c>
      <c r="B1498" s="2" t="str">
        <f t="shared" si="23"/>
        <v>sa-17-6</v>
      </c>
      <c r="C1498" t="s">
        <v>322</v>
      </c>
      <c r="D1498" t="s">
        <v>82</v>
      </c>
      <c r="E1498">
        <v>4</v>
      </c>
      <c r="F1498" s="6">
        <f>VLOOKUP(D1498,Products!A$2:C$101,3,FALSE)*E1498</f>
        <v>128</v>
      </c>
      <c r="G1498" t="s">
        <v>407</v>
      </c>
    </row>
    <row r="1499" spans="1:7" x14ac:dyDescent="0.25">
      <c r="A1499" s="3">
        <v>44500</v>
      </c>
      <c r="B1499" s="2" t="str">
        <f t="shared" si="23"/>
        <v>sa-31-10</v>
      </c>
      <c r="C1499" t="s">
        <v>321</v>
      </c>
      <c r="D1499" t="s">
        <v>55</v>
      </c>
      <c r="E1499">
        <v>4</v>
      </c>
      <c r="F1499" s="6">
        <f>VLOOKUP(D1499,Products!A$2:C$101,3,FALSE)*E1499</f>
        <v>128</v>
      </c>
      <c r="G1499" t="s">
        <v>403</v>
      </c>
    </row>
    <row r="1500" spans="1:7" x14ac:dyDescent="0.25">
      <c r="A1500" s="3">
        <v>43992</v>
      </c>
      <c r="B1500" s="2" t="str">
        <f t="shared" si="23"/>
        <v>sa-10-6</v>
      </c>
      <c r="C1500" t="s">
        <v>309</v>
      </c>
      <c r="D1500" t="s">
        <v>97</v>
      </c>
      <c r="E1500">
        <v>3</v>
      </c>
      <c r="F1500" s="6">
        <f>VLOOKUP(D1500,Products!A$2:C$101,3,FALSE)*E1500</f>
        <v>30</v>
      </c>
      <c r="G1500" t="s">
        <v>405</v>
      </c>
    </row>
    <row r="1501" spans="1:7" x14ac:dyDescent="0.25">
      <c r="A1501" s="3">
        <v>44643</v>
      </c>
      <c r="B1501" s="2" t="str">
        <f t="shared" si="23"/>
        <v>sa-23-3</v>
      </c>
      <c r="C1501" t="s">
        <v>348</v>
      </c>
      <c r="D1501" t="s">
        <v>95</v>
      </c>
      <c r="E1501">
        <v>3</v>
      </c>
      <c r="F1501" s="6">
        <f>VLOOKUP(D1501,Products!A$2:C$101,3,FALSE)*E1501</f>
        <v>36</v>
      </c>
      <c r="G1501" t="s">
        <v>408</v>
      </c>
    </row>
    <row r="1502" spans="1:7" x14ac:dyDescent="0.25">
      <c r="A1502" s="3">
        <v>44286</v>
      </c>
      <c r="B1502" s="2" t="str">
        <f t="shared" si="23"/>
        <v>sa-31-3</v>
      </c>
      <c r="C1502" t="s">
        <v>339</v>
      </c>
      <c r="D1502" t="s">
        <v>54</v>
      </c>
      <c r="E1502">
        <v>5</v>
      </c>
      <c r="F1502" s="6">
        <f>VLOOKUP(D1502,Products!A$2:C$101,3,FALSE)*E1502</f>
        <v>175</v>
      </c>
      <c r="G1502" t="s">
        <v>401</v>
      </c>
    </row>
    <row r="1503" spans="1:7" x14ac:dyDescent="0.25">
      <c r="A1503" s="3">
        <v>44146</v>
      </c>
      <c r="B1503" s="2" t="str">
        <f t="shared" si="23"/>
        <v>sa-11-11</v>
      </c>
      <c r="C1503" t="s">
        <v>322</v>
      </c>
      <c r="D1503" t="s">
        <v>19</v>
      </c>
      <c r="E1503">
        <v>2</v>
      </c>
      <c r="F1503" s="6">
        <f>VLOOKUP(D1503,Products!A$2:C$101,3,FALSE)*E1503</f>
        <v>66</v>
      </c>
      <c r="G1503" t="s">
        <v>396</v>
      </c>
    </row>
    <row r="1504" spans="1:7" x14ac:dyDescent="0.25">
      <c r="A1504" s="3">
        <v>44415</v>
      </c>
      <c r="B1504" s="2" t="str">
        <f t="shared" si="23"/>
        <v>sa-7-8</v>
      </c>
      <c r="C1504" t="s">
        <v>349</v>
      </c>
      <c r="D1504" t="s">
        <v>36</v>
      </c>
      <c r="E1504">
        <v>4</v>
      </c>
      <c r="F1504" s="6">
        <f>VLOOKUP(D1504,Products!A$2:C$101,3,FALSE)*E1504</f>
        <v>136</v>
      </c>
      <c r="G1504" t="s">
        <v>395</v>
      </c>
    </row>
    <row r="1505" spans="1:7" x14ac:dyDescent="0.25">
      <c r="A1505" s="3">
        <v>43962</v>
      </c>
      <c r="B1505" s="2" t="str">
        <f t="shared" si="23"/>
        <v>sa-11-5</v>
      </c>
      <c r="C1505" t="s">
        <v>354</v>
      </c>
      <c r="D1505" t="s">
        <v>5</v>
      </c>
      <c r="E1505">
        <v>3</v>
      </c>
      <c r="F1505" s="6">
        <f>VLOOKUP(D1505,Products!A$2:C$101,3,FALSE)*E1505</f>
        <v>240</v>
      </c>
      <c r="G1505" t="s">
        <v>398</v>
      </c>
    </row>
    <row r="1506" spans="1:7" x14ac:dyDescent="0.25">
      <c r="A1506" s="3">
        <v>44710</v>
      </c>
      <c r="B1506" s="2" t="str">
        <f t="shared" si="23"/>
        <v>sa-29-5</v>
      </c>
      <c r="C1506" t="s">
        <v>331</v>
      </c>
      <c r="D1506" t="s">
        <v>96</v>
      </c>
      <c r="E1506">
        <v>4</v>
      </c>
      <c r="F1506" s="6">
        <f>VLOOKUP(D1506,Products!A$2:C$101,3,FALSE)*E1506</f>
        <v>40</v>
      </c>
      <c r="G1506" t="s">
        <v>408</v>
      </c>
    </row>
    <row r="1507" spans="1:7" x14ac:dyDescent="0.25">
      <c r="A1507" s="3">
        <v>44518</v>
      </c>
      <c r="B1507" s="2" t="str">
        <f t="shared" si="23"/>
        <v>sa-18-11</v>
      </c>
      <c r="C1507" t="s">
        <v>345</v>
      </c>
      <c r="D1507" t="s">
        <v>70</v>
      </c>
      <c r="E1507">
        <v>2</v>
      </c>
      <c r="F1507" s="6">
        <f>VLOOKUP(D1507,Products!A$2:C$101,3,FALSE)*E1507</f>
        <v>70</v>
      </c>
      <c r="G1507" t="s">
        <v>397</v>
      </c>
    </row>
    <row r="1508" spans="1:7" x14ac:dyDescent="0.25">
      <c r="A1508" s="3">
        <v>44519</v>
      </c>
      <c r="B1508" s="2" t="str">
        <f t="shared" si="23"/>
        <v>sa-19-11</v>
      </c>
      <c r="C1508" t="s">
        <v>325</v>
      </c>
      <c r="D1508" t="s">
        <v>76</v>
      </c>
      <c r="E1508">
        <v>4</v>
      </c>
      <c r="F1508" s="6">
        <f>VLOOKUP(D1508,Products!A$2:C$101,3,FALSE)*E1508</f>
        <v>136</v>
      </c>
      <c r="G1508" t="s">
        <v>396</v>
      </c>
    </row>
    <row r="1509" spans="1:7" x14ac:dyDescent="0.25">
      <c r="A1509" s="3">
        <v>44565</v>
      </c>
      <c r="B1509" s="2" t="str">
        <f t="shared" si="23"/>
        <v>sa-4-1</v>
      </c>
      <c r="C1509" t="s">
        <v>350</v>
      </c>
      <c r="D1509" t="s">
        <v>24</v>
      </c>
      <c r="E1509">
        <v>6</v>
      </c>
      <c r="F1509" s="6">
        <f>VLOOKUP(D1509,Products!A$2:C$101,3,FALSE)*E1509</f>
        <v>198</v>
      </c>
      <c r="G1509" t="s">
        <v>399</v>
      </c>
    </row>
    <row r="1510" spans="1:7" x14ac:dyDescent="0.25">
      <c r="A1510" s="3">
        <v>43958</v>
      </c>
      <c r="B1510" s="2" t="str">
        <f t="shared" si="23"/>
        <v>sa-7-5</v>
      </c>
      <c r="C1510" t="s">
        <v>340</v>
      </c>
      <c r="D1510" t="s">
        <v>101</v>
      </c>
      <c r="E1510">
        <v>6</v>
      </c>
      <c r="F1510" s="6">
        <f>VLOOKUP(D1510,Products!A$2:C$101,3,FALSE)*E1510</f>
        <v>60</v>
      </c>
      <c r="G1510" t="s">
        <v>403</v>
      </c>
    </row>
    <row r="1511" spans="1:7" x14ac:dyDescent="0.25">
      <c r="A1511" s="3">
        <v>44067</v>
      </c>
      <c r="B1511" s="2" t="str">
        <f t="shared" si="23"/>
        <v>sa-24-8</v>
      </c>
      <c r="C1511" t="s">
        <v>318</v>
      </c>
      <c r="D1511" t="s">
        <v>63</v>
      </c>
      <c r="E1511">
        <v>3</v>
      </c>
      <c r="F1511" s="6">
        <f>VLOOKUP(D1511,Products!A$2:C$101,3,FALSE)*E1511</f>
        <v>99</v>
      </c>
      <c r="G1511" t="s">
        <v>401</v>
      </c>
    </row>
    <row r="1512" spans="1:7" x14ac:dyDescent="0.25">
      <c r="A1512" s="3">
        <v>44066</v>
      </c>
      <c r="B1512" s="2" t="str">
        <f t="shared" si="23"/>
        <v>sa-23-8</v>
      </c>
      <c r="C1512" t="s">
        <v>320</v>
      </c>
      <c r="D1512" t="s">
        <v>84</v>
      </c>
      <c r="E1512">
        <v>2</v>
      </c>
      <c r="F1512" s="6">
        <f>VLOOKUP(D1512,Products!A$2:C$101,3,FALSE)*E1512</f>
        <v>70</v>
      </c>
      <c r="G1512" t="s">
        <v>397</v>
      </c>
    </row>
    <row r="1513" spans="1:7" x14ac:dyDescent="0.25">
      <c r="A1513" s="3">
        <v>44167</v>
      </c>
      <c r="B1513" s="2" t="str">
        <f t="shared" si="23"/>
        <v>sa-2-12</v>
      </c>
      <c r="C1513" t="s">
        <v>350</v>
      </c>
      <c r="D1513" t="s">
        <v>22</v>
      </c>
      <c r="E1513">
        <v>2</v>
      </c>
      <c r="F1513" s="6">
        <f>VLOOKUP(D1513,Products!A$2:C$101,3,FALSE)*E1513</f>
        <v>68</v>
      </c>
      <c r="G1513" t="s">
        <v>408</v>
      </c>
    </row>
    <row r="1514" spans="1:7" x14ac:dyDescent="0.25">
      <c r="A1514" s="3">
        <v>44172</v>
      </c>
      <c r="B1514" s="2" t="str">
        <f t="shared" si="23"/>
        <v>sa-7-12</v>
      </c>
      <c r="C1514" t="s">
        <v>349</v>
      </c>
      <c r="D1514" t="s">
        <v>55</v>
      </c>
      <c r="E1514">
        <v>5</v>
      </c>
      <c r="F1514" s="6">
        <f>VLOOKUP(D1514,Products!A$2:C$101,3,FALSE)*E1514</f>
        <v>160</v>
      </c>
      <c r="G1514" t="s">
        <v>399</v>
      </c>
    </row>
    <row r="1515" spans="1:7" x14ac:dyDescent="0.25">
      <c r="A1515" s="3">
        <v>44345</v>
      </c>
      <c r="B1515" s="2" t="str">
        <f t="shared" si="23"/>
        <v>sa-29-5</v>
      </c>
      <c r="C1515" t="s">
        <v>353</v>
      </c>
      <c r="D1515" t="s">
        <v>72</v>
      </c>
      <c r="E1515">
        <v>6</v>
      </c>
      <c r="F1515" s="6">
        <f>VLOOKUP(D1515,Products!A$2:C$101,3,FALSE)*E1515</f>
        <v>186</v>
      </c>
      <c r="G1515" t="s">
        <v>398</v>
      </c>
    </row>
    <row r="1516" spans="1:7" x14ac:dyDescent="0.25">
      <c r="A1516" s="3">
        <v>43916</v>
      </c>
      <c r="B1516" s="2" t="str">
        <f t="shared" si="23"/>
        <v>sa-26-3</v>
      </c>
      <c r="C1516" t="s">
        <v>329</v>
      </c>
      <c r="D1516" t="s">
        <v>56</v>
      </c>
      <c r="E1516">
        <v>3</v>
      </c>
      <c r="F1516" s="6">
        <f>VLOOKUP(D1516,Products!A$2:C$101,3,FALSE)*E1516</f>
        <v>90</v>
      </c>
      <c r="G1516" t="s">
        <v>408</v>
      </c>
    </row>
    <row r="1517" spans="1:7" x14ac:dyDescent="0.25">
      <c r="A1517" s="3">
        <v>43979</v>
      </c>
      <c r="B1517" s="2" t="str">
        <f t="shared" si="23"/>
        <v>sa-28-5</v>
      </c>
      <c r="C1517" t="s">
        <v>314</v>
      </c>
      <c r="D1517" t="s">
        <v>76</v>
      </c>
      <c r="E1517">
        <v>4</v>
      </c>
      <c r="F1517" s="6">
        <f>VLOOKUP(D1517,Products!A$2:C$101,3,FALSE)*E1517</f>
        <v>136</v>
      </c>
      <c r="G1517" t="s">
        <v>408</v>
      </c>
    </row>
    <row r="1518" spans="1:7" x14ac:dyDescent="0.25">
      <c r="A1518" s="3">
        <v>44035</v>
      </c>
      <c r="B1518" s="2" t="str">
        <f t="shared" si="23"/>
        <v>sa-23-7</v>
      </c>
      <c r="C1518" t="s">
        <v>310</v>
      </c>
      <c r="D1518" t="s">
        <v>97</v>
      </c>
      <c r="E1518">
        <v>6</v>
      </c>
      <c r="F1518" s="6">
        <f>VLOOKUP(D1518,Products!A$2:C$101,3,FALSE)*E1518</f>
        <v>60</v>
      </c>
      <c r="G1518" t="s">
        <v>405</v>
      </c>
    </row>
    <row r="1519" spans="1:7" x14ac:dyDescent="0.25">
      <c r="A1519" s="3">
        <v>44019</v>
      </c>
      <c r="B1519" s="2" t="str">
        <f t="shared" si="23"/>
        <v>sa-7-7</v>
      </c>
      <c r="C1519" t="s">
        <v>319</v>
      </c>
      <c r="D1519" t="s">
        <v>12</v>
      </c>
      <c r="E1519">
        <v>3</v>
      </c>
      <c r="F1519" s="6">
        <f>VLOOKUP(D1519,Products!A$2:C$101,3,FALSE)*E1519</f>
        <v>222</v>
      </c>
      <c r="G1519" t="s">
        <v>403</v>
      </c>
    </row>
    <row r="1520" spans="1:7" x14ac:dyDescent="0.25">
      <c r="A1520" s="3">
        <v>44323</v>
      </c>
      <c r="B1520" s="2" t="str">
        <f t="shared" si="23"/>
        <v>sa-7-5</v>
      </c>
      <c r="C1520" t="s">
        <v>351</v>
      </c>
      <c r="D1520" t="s">
        <v>43</v>
      </c>
      <c r="E1520">
        <v>2</v>
      </c>
      <c r="F1520" s="6">
        <f>VLOOKUP(D1520,Products!A$2:C$101,3,FALSE)*E1520</f>
        <v>66</v>
      </c>
      <c r="G1520" t="s">
        <v>395</v>
      </c>
    </row>
    <row r="1521" spans="1:7" x14ac:dyDescent="0.25">
      <c r="A1521" s="3">
        <v>44695</v>
      </c>
      <c r="B1521" s="2" t="str">
        <f t="shared" si="23"/>
        <v>sa-14-5</v>
      </c>
      <c r="C1521" t="s">
        <v>316</v>
      </c>
      <c r="D1521" t="s">
        <v>6</v>
      </c>
      <c r="E1521">
        <v>4</v>
      </c>
      <c r="F1521" s="6">
        <f>VLOOKUP(D1521,Products!A$2:C$101,3,FALSE)*E1521</f>
        <v>276</v>
      </c>
      <c r="G1521" t="s">
        <v>396</v>
      </c>
    </row>
    <row r="1522" spans="1:7" x14ac:dyDescent="0.25">
      <c r="A1522" s="3">
        <v>44076</v>
      </c>
      <c r="B1522" s="2" t="str">
        <f t="shared" si="23"/>
        <v>sa-2-9</v>
      </c>
      <c r="C1522" t="s">
        <v>344</v>
      </c>
      <c r="D1522" t="s">
        <v>23</v>
      </c>
      <c r="E1522">
        <v>3</v>
      </c>
      <c r="F1522" s="6">
        <f>VLOOKUP(D1522,Products!A$2:C$101,3,FALSE)*E1522</f>
        <v>93</v>
      </c>
      <c r="G1522" t="s">
        <v>400</v>
      </c>
    </row>
    <row r="1523" spans="1:7" x14ac:dyDescent="0.25">
      <c r="A1523" s="3">
        <v>44202</v>
      </c>
      <c r="B1523" s="2" t="str">
        <f t="shared" si="23"/>
        <v>sa-6-1</v>
      </c>
      <c r="C1523" t="s">
        <v>333</v>
      </c>
      <c r="D1523" t="s">
        <v>81</v>
      </c>
      <c r="E1523">
        <v>6</v>
      </c>
      <c r="F1523" s="6">
        <f>VLOOKUP(D1523,Products!A$2:C$101,3,FALSE)*E1523</f>
        <v>192</v>
      </c>
      <c r="G1523" t="s">
        <v>407</v>
      </c>
    </row>
    <row r="1524" spans="1:7" x14ac:dyDescent="0.25">
      <c r="A1524" s="3">
        <v>43953</v>
      </c>
      <c r="B1524" s="2" t="str">
        <f t="shared" si="23"/>
        <v>sa-2-5</v>
      </c>
      <c r="C1524" t="s">
        <v>319</v>
      </c>
      <c r="D1524" t="s">
        <v>93</v>
      </c>
      <c r="E1524">
        <v>3</v>
      </c>
      <c r="F1524" s="6">
        <f>VLOOKUP(D1524,Products!A$2:C$101,3,FALSE)*E1524</f>
        <v>51</v>
      </c>
      <c r="G1524" t="s">
        <v>398</v>
      </c>
    </row>
    <row r="1525" spans="1:7" x14ac:dyDescent="0.25">
      <c r="A1525" s="3">
        <v>44441</v>
      </c>
      <c r="B1525" s="2" t="str">
        <f t="shared" si="23"/>
        <v>sa-2-9</v>
      </c>
      <c r="C1525" t="s">
        <v>335</v>
      </c>
      <c r="D1525" t="s">
        <v>28</v>
      </c>
      <c r="E1525">
        <v>4</v>
      </c>
      <c r="F1525" s="6">
        <f>VLOOKUP(D1525,Products!A$2:C$101,3,FALSE)*E1525</f>
        <v>120</v>
      </c>
      <c r="G1525" t="s">
        <v>403</v>
      </c>
    </row>
    <row r="1526" spans="1:7" x14ac:dyDescent="0.25">
      <c r="A1526" s="3">
        <v>44156</v>
      </c>
      <c r="B1526" s="2" t="str">
        <f t="shared" si="23"/>
        <v>sa-21-11</v>
      </c>
      <c r="C1526" t="s">
        <v>350</v>
      </c>
      <c r="D1526" t="s">
        <v>94</v>
      </c>
      <c r="E1526">
        <v>3</v>
      </c>
      <c r="F1526" s="6">
        <f>VLOOKUP(D1526,Products!A$2:C$101,3,FALSE)*E1526</f>
        <v>57</v>
      </c>
      <c r="G1526" t="s">
        <v>408</v>
      </c>
    </row>
    <row r="1527" spans="1:7" x14ac:dyDescent="0.25">
      <c r="A1527" s="3">
        <v>44545</v>
      </c>
      <c r="B1527" s="2" t="str">
        <f t="shared" si="23"/>
        <v>sa-15-12</v>
      </c>
      <c r="C1527" t="s">
        <v>327</v>
      </c>
      <c r="D1527" t="s">
        <v>43</v>
      </c>
      <c r="E1527">
        <v>2</v>
      </c>
      <c r="F1527" s="6">
        <f>VLOOKUP(D1527,Products!A$2:C$101,3,FALSE)*E1527</f>
        <v>66</v>
      </c>
      <c r="G1527" t="s">
        <v>404</v>
      </c>
    </row>
    <row r="1528" spans="1:7" x14ac:dyDescent="0.25">
      <c r="A1528" s="3">
        <v>44387</v>
      </c>
      <c r="B1528" s="2" t="str">
        <f t="shared" si="23"/>
        <v>sa-10-7</v>
      </c>
      <c r="C1528" t="s">
        <v>327</v>
      </c>
      <c r="D1528" t="s">
        <v>70</v>
      </c>
      <c r="E1528">
        <v>5</v>
      </c>
      <c r="F1528" s="6">
        <f>VLOOKUP(D1528,Products!A$2:C$101,3,FALSE)*E1528</f>
        <v>175</v>
      </c>
      <c r="G1528" t="s">
        <v>404</v>
      </c>
    </row>
    <row r="1529" spans="1:7" x14ac:dyDescent="0.25">
      <c r="A1529" s="3">
        <v>44492</v>
      </c>
      <c r="B1529" s="2" t="str">
        <f t="shared" si="23"/>
        <v>sa-23-10</v>
      </c>
      <c r="C1529" t="s">
        <v>332</v>
      </c>
      <c r="D1529" t="s">
        <v>26</v>
      </c>
      <c r="E1529">
        <v>2</v>
      </c>
      <c r="F1529" s="6">
        <f>VLOOKUP(D1529,Products!A$2:C$101,3,FALSE)*E1529</f>
        <v>66</v>
      </c>
      <c r="G1529" t="s">
        <v>405</v>
      </c>
    </row>
    <row r="1530" spans="1:7" x14ac:dyDescent="0.25">
      <c r="A1530" s="3">
        <v>44353</v>
      </c>
      <c r="B1530" s="2" t="str">
        <f t="shared" si="23"/>
        <v>sa-6-6</v>
      </c>
      <c r="C1530" t="s">
        <v>307</v>
      </c>
      <c r="D1530" t="s">
        <v>72</v>
      </c>
      <c r="E1530">
        <v>6</v>
      </c>
      <c r="F1530" s="6">
        <f>VLOOKUP(D1530,Products!A$2:C$101,3,FALSE)*E1530</f>
        <v>186</v>
      </c>
      <c r="G1530" t="s">
        <v>407</v>
      </c>
    </row>
    <row r="1531" spans="1:7" x14ac:dyDescent="0.25">
      <c r="A1531" s="3">
        <v>43906</v>
      </c>
      <c r="B1531" s="2" t="str">
        <f t="shared" si="23"/>
        <v>sa-16-3</v>
      </c>
      <c r="C1531" t="s">
        <v>309</v>
      </c>
      <c r="D1531" t="s">
        <v>60</v>
      </c>
      <c r="E1531">
        <v>3</v>
      </c>
      <c r="F1531" s="6">
        <f>VLOOKUP(D1531,Products!A$2:C$101,3,FALSE)*E1531</f>
        <v>90</v>
      </c>
      <c r="G1531" t="s">
        <v>401</v>
      </c>
    </row>
    <row r="1532" spans="1:7" x14ac:dyDescent="0.25">
      <c r="A1532" s="3">
        <v>44122</v>
      </c>
      <c r="B1532" s="2" t="str">
        <f t="shared" si="23"/>
        <v>sa-18-10</v>
      </c>
      <c r="C1532" t="s">
        <v>336</v>
      </c>
      <c r="D1532" t="s">
        <v>70</v>
      </c>
      <c r="E1532">
        <v>2</v>
      </c>
      <c r="F1532" s="6">
        <f>VLOOKUP(D1532,Products!A$2:C$101,3,FALSE)*E1532</f>
        <v>70</v>
      </c>
      <c r="G1532" t="s">
        <v>403</v>
      </c>
    </row>
    <row r="1533" spans="1:7" x14ac:dyDescent="0.25">
      <c r="A1533" s="3">
        <v>44563</v>
      </c>
      <c r="B1533" s="2" t="str">
        <f t="shared" si="23"/>
        <v>sa-2-1</v>
      </c>
      <c r="C1533" t="s">
        <v>353</v>
      </c>
      <c r="D1533" t="s">
        <v>52</v>
      </c>
      <c r="E1533">
        <v>5</v>
      </c>
      <c r="F1533" s="6">
        <f>VLOOKUP(D1533,Products!A$2:C$101,3,FALSE)*E1533</f>
        <v>165</v>
      </c>
      <c r="G1533" t="s">
        <v>397</v>
      </c>
    </row>
    <row r="1534" spans="1:7" x14ac:dyDescent="0.25">
      <c r="A1534" s="3">
        <v>44266</v>
      </c>
      <c r="B1534" s="2" t="str">
        <f t="shared" si="23"/>
        <v>sa-11-3</v>
      </c>
      <c r="C1534" t="s">
        <v>316</v>
      </c>
      <c r="D1534" t="s">
        <v>94</v>
      </c>
      <c r="E1534">
        <v>3</v>
      </c>
      <c r="F1534" s="6">
        <f>VLOOKUP(D1534,Products!A$2:C$101,3,FALSE)*E1534</f>
        <v>57</v>
      </c>
      <c r="G1534" t="s">
        <v>395</v>
      </c>
    </row>
    <row r="1535" spans="1:7" x14ac:dyDescent="0.25">
      <c r="A1535" s="3">
        <v>44634</v>
      </c>
      <c r="B1535" s="2" t="str">
        <f t="shared" si="23"/>
        <v>sa-14-3</v>
      </c>
      <c r="C1535" t="s">
        <v>348</v>
      </c>
      <c r="D1535" t="s">
        <v>11</v>
      </c>
      <c r="E1535">
        <v>2</v>
      </c>
      <c r="F1535" s="6">
        <f>VLOOKUP(D1535,Products!A$2:C$101,3,FALSE)*E1535</f>
        <v>156</v>
      </c>
      <c r="G1535" t="s">
        <v>405</v>
      </c>
    </row>
    <row r="1536" spans="1:7" x14ac:dyDescent="0.25">
      <c r="A1536" s="3">
        <v>44008</v>
      </c>
      <c r="B1536" s="2" t="str">
        <f t="shared" si="23"/>
        <v>sa-26-6</v>
      </c>
      <c r="C1536" t="s">
        <v>317</v>
      </c>
      <c r="D1536" t="s">
        <v>96</v>
      </c>
      <c r="E1536">
        <v>4</v>
      </c>
      <c r="F1536" s="6">
        <f>VLOOKUP(D1536,Products!A$2:C$101,3,FALSE)*E1536</f>
        <v>40</v>
      </c>
      <c r="G1536" t="s">
        <v>405</v>
      </c>
    </row>
    <row r="1537" spans="1:7" x14ac:dyDescent="0.25">
      <c r="A1537" s="3">
        <v>44493</v>
      </c>
      <c r="B1537" s="2" t="str">
        <f t="shared" si="23"/>
        <v>sa-24-10</v>
      </c>
      <c r="C1537" t="s">
        <v>334</v>
      </c>
      <c r="D1537" t="s">
        <v>34</v>
      </c>
      <c r="E1537">
        <v>4</v>
      </c>
      <c r="F1537" s="6">
        <f>VLOOKUP(D1537,Products!A$2:C$101,3,FALSE)*E1537</f>
        <v>140</v>
      </c>
      <c r="G1537" t="s">
        <v>400</v>
      </c>
    </row>
    <row r="1538" spans="1:7" x14ac:dyDescent="0.25">
      <c r="A1538" s="3">
        <v>44364</v>
      </c>
      <c r="B1538" s="2" t="str">
        <f t="shared" si="23"/>
        <v>sa-17-6</v>
      </c>
      <c r="C1538" t="s">
        <v>311</v>
      </c>
      <c r="D1538" t="s">
        <v>94</v>
      </c>
      <c r="E1538">
        <v>3</v>
      </c>
      <c r="F1538" s="6">
        <f>VLOOKUP(D1538,Products!A$2:C$101,3,FALSE)*E1538</f>
        <v>57</v>
      </c>
      <c r="G1538" t="s">
        <v>402</v>
      </c>
    </row>
    <row r="1539" spans="1:7" x14ac:dyDescent="0.25">
      <c r="A1539" s="3">
        <v>44092</v>
      </c>
      <c r="B1539" s="2" t="str">
        <f t="shared" ref="B1539:B1602" si="24">"sa-"&amp;DAY(A1539)&amp;"-"&amp;MONTH(A1539)</f>
        <v>sa-18-9</v>
      </c>
      <c r="C1539" t="s">
        <v>346</v>
      </c>
      <c r="D1539" t="s">
        <v>56</v>
      </c>
      <c r="E1539">
        <v>3</v>
      </c>
      <c r="F1539" s="6">
        <f>VLOOKUP(D1539,Products!A$2:C$101,3,FALSE)*E1539</f>
        <v>90</v>
      </c>
      <c r="G1539" t="s">
        <v>400</v>
      </c>
    </row>
    <row r="1540" spans="1:7" x14ac:dyDescent="0.25">
      <c r="A1540" s="3">
        <v>43912</v>
      </c>
      <c r="B1540" s="2" t="str">
        <f t="shared" si="24"/>
        <v>sa-22-3</v>
      </c>
      <c r="C1540" t="s">
        <v>324</v>
      </c>
      <c r="D1540" t="s">
        <v>61</v>
      </c>
      <c r="E1540">
        <v>5</v>
      </c>
      <c r="F1540" s="6">
        <f>VLOOKUP(D1540,Products!A$2:C$101,3,FALSE)*E1540</f>
        <v>155</v>
      </c>
      <c r="G1540" t="s">
        <v>397</v>
      </c>
    </row>
    <row r="1541" spans="1:7" x14ac:dyDescent="0.25">
      <c r="A1541" s="3">
        <v>44651</v>
      </c>
      <c r="B1541" s="2" t="str">
        <f t="shared" si="24"/>
        <v>sa-31-3</v>
      </c>
      <c r="C1541" t="s">
        <v>337</v>
      </c>
      <c r="D1541" t="s">
        <v>7</v>
      </c>
      <c r="E1541">
        <v>2</v>
      </c>
      <c r="F1541" s="6">
        <f>VLOOKUP(D1541,Products!A$2:C$101,3,FALSE)*E1541</f>
        <v>148</v>
      </c>
      <c r="G1541" t="s">
        <v>400</v>
      </c>
    </row>
    <row r="1542" spans="1:7" x14ac:dyDescent="0.25">
      <c r="A1542" s="3">
        <v>44731</v>
      </c>
      <c r="B1542" s="2" t="str">
        <f t="shared" si="24"/>
        <v>sa-19-6</v>
      </c>
      <c r="C1542" t="s">
        <v>347</v>
      </c>
      <c r="D1542" t="s">
        <v>35</v>
      </c>
      <c r="E1542">
        <v>6</v>
      </c>
      <c r="F1542" s="6">
        <f>VLOOKUP(D1542,Products!A$2:C$101,3,FALSE)*E1542</f>
        <v>180</v>
      </c>
      <c r="G1542" t="s">
        <v>405</v>
      </c>
    </row>
    <row r="1543" spans="1:7" x14ac:dyDescent="0.25">
      <c r="A1543" s="3">
        <v>44030</v>
      </c>
      <c r="B1543" s="2" t="str">
        <f t="shared" si="24"/>
        <v>sa-18-7</v>
      </c>
      <c r="C1543" t="s">
        <v>318</v>
      </c>
      <c r="D1543" t="s">
        <v>79</v>
      </c>
      <c r="E1543">
        <v>2</v>
      </c>
      <c r="F1543" s="6">
        <f>VLOOKUP(D1543,Products!A$2:C$101,3,FALSE)*E1543</f>
        <v>68</v>
      </c>
      <c r="G1543" t="s">
        <v>396</v>
      </c>
    </row>
    <row r="1544" spans="1:7" x14ac:dyDescent="0.25">
      <c r="A1544" s="3">
        <v>44672</v>
      </c>
      <c r="B1544" s="2" t="str">
        <f t="shared" si="24"/>
        <v>sa-21-4</v>
      </c>
      <c r="C1544" t="s">
        <v>322</v>
      </c>
      <c r="D1544" t="s">
        <v>13</v>
      </c>
      <c r="E1544">
        <v>2</v>
      </c>
      <c r="F1544" s="6">
        <f>VLOOKUP(D1544,Products!A$2:C$101,3,FALSE)*E1544</f>
        <v>142</v>
      </c>
      <c r="G1544" t="s">
        <v>397</v>
      </c>
    </row>
    <row r="1545" spans="1:7" x14ac:dyDescent="0.25">
      <c r="A1545" s="3">
        <v>44638</v>
      </c>
      <c r="B1545" s="2" t="str">
        <f t="shared" si="24"/>
        <v>sa-18-3</v>
      </c>
      <c r="C1545" t="s">
        <v>342</v>
      </c>
      <c r="D1545" t="s">
        <v>7</v>
      </c>
      <c r="E1545">
        <v>2</v>
      </c>
      <c r="F1545" s="6">
        <f>VLOOKUP(D1545,Products!A$2:C$101,3,FALSE)*E1545</f>
        <v>148</v>
      </c>
      <c r="G1545" t="s">
        <v>403</v>
      </c>
    </row>
    <row r="1546" spans="1:7" x14ac:dyDescent="0.25">
      <c r="A1546" s="3">
        <v>43911</v>
      </c>
      <c r="B1546" s="2" t="str">
        <f t="shared" si="24"/>
        <v>sa-21-3</v>
      </c>
      <c r="C1546" t="s">
        <v>341</v>
      </c>
      <c r="D1546" t="s">
        <v>47</v>
      </c>
      <c r="E1546">
        <v>6</v>
      </c>
      <c r="F1546" s="6">
        <f>VLOOKUP(D1546,Products!A$2:C$101,3,FALSE)*E1546</f>
        <v>192</v>
      </c>
      <c r="G1546" t="s">
        <v>406</v>
      </c>
    </row>
    <row r="1547" spans="1:7" x14ac:dyDescent="0.25">
      <c r="A1547" s="3">
        <v>44594</v>
      </c>
      <c r="B1547" s="2" t="str">
        <f t="shared" si="24"/>
        <v>sa-2-2</v>
      </c>
      <c r="C1547" t="s">
        <v>347</v>
      </c>
      <c r="D1547" t="s">
        <v>5</v>
      </c>
      <c r="E1547">
        <v>4</v>
      </c>
      <c r="F1547" s="6">
        <f>VLOOKUP(D1547,Products!A$2:C$101,3,FALSE)*E1547</f>
        <v>320</v>
      </c>
      <c r="G1547" t="s">
        <v>397</v>
      </c>
    </row>
    <row r="1548" spans="1:7" x14ac:dyDescent="0.25">
      <c r="A1548" s="3">
        <v>44290</v>
      </c>
      <c r="B1548" s="2" t="str">
        <f t="shared" si="24"/>
        <v>sa-4-4</v>
      </c>
      <c r="C1548" t="s">
        <v>349</v>
      </c>
      <c r="D1548" t="s">
        <v>54</v>
      </c>
      <c r="E1548">
        <v>3</v>
      </c>
      <c r="F1548" s="6">
        <f>VLOOKUP(D1548,Products!A$2:C$101,3,FALSE)*E1548</f>
        <v>105</v>
      </c>
      <c r="G1548" t="s">
        <v>396</v>
      </c>
    </row>
    <row r="1549" spans="1:7" x14ac:dyDescent="0.25">
      <c r="A1549" s="3">
        <v>44477</v>
      </c>
      <c r="B1549" s="2" t="str">
        <f t="shared" si="24"/>
        <v>sa-8-10</v>
      </c>
      <c r="C1549" t="s">
        <v>324</v>
      </c>
      <c r="D1549" t="s">
        <v>74</v>
      </c>
      <c r="E1549">
        <v>6</v>
      </c>
      <c r="F1549" s="6">
        <f>VLOOKUP(D1549,Products!A$2:C$101,3,FALSE)*E1549</f>
        <v>204</v>
      </c>
      <c r="G1549" t="s">
        <v>395</v>
      </c>
    </row>
    <row r="1550" spans="1:7" x14ac:dyDescent="0.25">
      <c r="A1550" s="3">
        <v>44321</v>
      </c>
      <c r="B1550" s="2" t="str">
        <f t="shared" si="24"/>
        <v>sa-5-5</v>
      </c>
      <c r="C1550" t="s">
        <v>348</v>
      </c>
      <c r="D1550" t="s">
        <v>43</v>
      </c>
      <c r="E1550">
        <v>4</v>
      </c>
      <c r="F1550" s="6">
        <f>VLOOKUP(D1550,Products!A$2:C$101,3,FALSE)*E1550</f>
        <v>132</v>
      </c>
      <c r="G1550" t="s">
        <v>402</v>
      </c>
    </row>
    <row r="1551" spans="1:7" x14ac:dyDescent="0.25">
      <c r="A1551" s="3">
        <v>44072</v>
      </c>
      <c r="B1551" s="2" t="str">
        <f t="shared" si="24"/>
        <v>sa-29-8</v>
      </c>
      <c r="C1551" t="s">
        <v>337</v>
      </c>
      <c r="D1551" t="s">
        <v>61</v>
      </c>
      <c r="E1551">
        <v>5</v>
      </c>
      <c r="F1551" s="6">
        <f>VLOOKUP(D1551,Products!A$2:C$101,3,FALSE)*E1551</f>
        <v>155</v>
      </c>
      <c r="G1551" t="s">
        <v>403</v>
      </c>
    </row>
    <row r="1552" spans="1:7" x14ac:dyDescent="0.25">
      <c r="A1552" s="3">
        <v>44463</v>
      </c>
      <c r="B1552" s="2" t="str">
        <f t="shared" si="24"/>
        <v>sa-24-9</v>
      </c>
      <c r="C1552" t="s">
        <v>350</v>
      </c>
      <c r="D1552" t="s">
        <v>98</v>
      </c>
      <c r="E1552">
        <v>4</v>
      </c>
      <c r="F1552" s="6">
        <f>VLOOKUP(D1552,Products!A$2:C$101,3,FALSE)*E1552</f>
        <v>76</v>
      </c>
      <c r="G1552" t="s">
        <v>395</v>
      </c>
    </row>
    <row r="1553" spans="1:7" x14ac:dyDescent="0.25">
      <c r="A1553" s="3">
        <v>44594</v>
      </c>
      <c r="B1553" s="2" t="str">
        <f t="shared" si="24"/>
        <v>sa-2-2</v>
      </c>
      <c r="C1553" t="s">
        <v>338</v>
      </c>
      <c r="D1553" t="s">
        <v>47</v>
      </c>
      <c r="E1553">
        <v>4</v>
      </c>
      <c r="F1553" s="6">
        <f>VLOOKUP(D1553,Products!A$2:C$101,3,FALSE)*E1553</f>
        <v>128</v>
      </c>
      <c r="G1553" t="s">
        <v>405</v>
      </c>
    </row>
    <row r="1554" spans="1:7" x14ac:dyDescent="0.25">
      <c r="A1554" s="3">
        <v>44066</v>
      </c>
      <c r="B1554" s="2" t="str">
        <f t="shared" si="24"/>
        <v>sa-23-8</v>
      </c>
      <c r="C1554" t="s">
        <v>340</v>
      </c>
      <c r="D1554" t="s">
        <v>41</v>
      </c>
      <c r="E1554">
        <v>5</v>
      </c>
      <c r="F1554" s="6">
        <f>VLOOKUP(D1554,Products!A$2:C$101,3,FALSE)*E1554</f>
        <v>165</v>
      </c>
      <c r="G1554" t="s">
        <v>405</v>
      </c>
    </row>
    <row r="1555" spans="1:7" x14ac:dyDescent="0.25">
      <c r="A1555" s="3">
        <v>43851</v>
      </c>
      <c r="B1555" s="2" t="str">
        <f t="shared" si="24"/>
        <v>sa-21-1</v>
      </c>
      <c r="C1555" t="s">
        <v>333</v>
      </c>
      <c r="D1555" t="s">
        <v>40</v>
      </c>
      <c r="E1555">
        <v>6</v>
      </c>
      <c r="F1555" s="6">
        <f>VLOOKUP(D1555,Products!A$2:C$101,3,FALSE)*E1555</f>
        <v>204</v>
      </c>
      <c r="G1555" t="s">
        <v>404</v>
      </c>
    </row>
    <row r="1556" spans="1:7" x14ac:dyDescent="0.25">
      <c r="A1556" s="3">
        <v>43941</v>
      </c>
      <c r="B1556" s="2" t="str">
        <f t="shared" si="24"/>
        <v>sa-20-4</v>
      </c>
      <c r="C1556" t="s">
        <v>319</v>
      </c>
      <c r="D1556" t="s">
        <v>88</v>
      </c>
      <c r="E1556">
        <v>3</v>
      </c>
      <c r="F1556" s="6">
        <f>VLOOKUP(D1556,Products!A$2:C$101,3,FALSE)*E1556</f>
        <v>51</v>
      </c>
      <c r="G1556" t="s">
        <v>399</v>
      </c>
    </row>
    <row r="1557" spans="1:7" x14ac:dyDescent="0.25">
      <c r="A1557" s="3">
        <v>44551</v>
      </c>
      <c r="B1557" s="2" t="str">
        <f t="shared" si="24"/>
        <v>sa-21-12</v>
      </c>
      <c r="C1557" t="s">
        <v>328</v>
      </c>
      <c r="D1557" t="s">
        <v>86</v>
      </c>
      <c r="E1557">
        <v>3</v>
      </c>
      <c r="F1557" s="6">
        <f>VLOOKUP(D1557,Products!A$2:C$101,3,FALSE)*E1557</f>
        <v>102</v>
      </c>
      <c r="G1557" t="s">
        <v>401</v>
      </c>
    </row>
    <row r="1558" spans="1:7" x14ac:dyDescent="0.25">
      <c r="A1558" s="3">
        <v>44638</v>
      </c>
      <c r="B1558" s="2" t="str">
        <f t="shared" si="24"/>
        <v>sa-18-3</v>
      </c>
      <c r="C1558" t="s">
        <v>355</v>
      </c>
      <c r="D1558" t="s">
        <v>51</v>
      </c>
      <c r="E1558">
        <v>4</v>
      </c>
      <c r="F1558" s="6">
        <f>VLOOKUP(D1558,Products!A$2:C$101,3,FALSE)*E1558</f>
        <v>124</v>
      </c>
      <c r="G1558" t="s">
        <v>400</v>
      </c>
    </row>
    <row r="1559" spans="1:7" x14ac:dyDescent="0.25">
      <c r="A1559" s="3">
        <v>44313</v>
      </c>
      <c r="B1559" s="2" t="str">
        <f t="shared" si="24"/>
        <v>sa-27-4</v>
      </c>
      <c r="C1559" t="s">
        <v>311</v>
      </c>
      <c r="D1559" t="s">
        <v>42</v>
      </c>
      <c r="E1559">
        <v>2</v>
      </c>
      <c r="F1559" s="6">
        <f>VLOOKUP(D1559,Products!A$2:C$101,3,FALSE)*E1559</f>
        <v>68</v>
      </c>
      <c r="G1559" t="s">
        <v>396</v>
      </c>
    </row>
    <row r="1560" spans="1:7" x14ac:dyDescent="0.25">
      <c r="A1560" s="3">
        <v>44240</v>
      </c>
      <c r="B1560" s="2" t="str">
        <f t="shared" si="24"/>
        <v>sa-13-2</v>
      </c>
      <c r="C1560" t="s">
        <v>353</v>
      </c>
      <c r="D1560" t="s">
        <v>99</v>
      </c>
      <c r="E1560">
        <v>4</v>
      </c>
      <c r="F1560" s="6">
        <f>VLOOKUP(D1560,Products!A$2:C$101,3,FALSE)*E1560</f>
        <v>60</v>
      </c>
      <c r="G1560" t="s">
        <v>404</v>
      </c>
    </row>
    <row r="1561" spans="1:7" x14ac:dyDescent="0.25">
      <c r="A1561" s="3">
        <v>44414</v>
      </c>
      <c r="B1561" s="2" t="str">
        <f t="shared" si="24"/>
        <v>sa-6-8</v>
      </c>
      <c r="C1561" t="s">
        <v>319</v>
      </c>
      <c r="D1561" t="s">
        <v>87</v>
      </c>
      <c r="E1561">
        <v>3</v>
      </c>
      <c r="F1561" s="6">
        <f>VLOOKUP(D1561,Products!A$2:C$101,3,FALSE)*E1561</f>
        <v>39</v>
      </c>
      <c r="G1561" t="s">
        <v>396</v>
      </c>
    </row>
    <row r="1562" spans="1:7" x14ac:dyDescent="0.25">
      <c r="A1562" s="3">
        <v>44312</v>
      </c>
      <c r="B1562" s="2" t="str">
        <f t="shared" si="24"/>
        <v>sa-26-4</v>
      </c>
      <c r="C1562" t="s">
        <v>321</v>
      </c>
      <c r="D1562" t="s">
        <v>100</v>
      </c>
      <c r="E1562">
        <v>3</v>
      </c>
      <c r="F1562" s="6">
        <f>VLOOKUP(D1562,Products!A$2:C$101,3,FALSE)*E1562</f>
        <v>45</v>
      </c>
      <c r="G1562" t="s">
        <v>395</v>
      </c>
    </row>
    <row r="1563" spans="1:7" x14ac:dyDescent="0.25">
      <c r="A1563" s="3">
        <v>44689</v>
      </c>
      <c r="B1563" s="2" t="str">
        <f t="shared" si="24"/>
        <v>sa-8-5</v>
      </c>
      <c r="C1563" t="s">
        <v>339</v>
      </c>
      <c r="D1563" t="s">
        <v>72</v>
      </c>
      <c r="E1563">
        <v>2</v>
      </c>
      <c r="F1563" s="6">
        <f>VLOOKUP(D1563,Products!A$2:C$101,3,FALSE)*E1563</f>
        <v>62</v>
      </c>
      <c r="G1563" t="s">
        <v>403</v>
      </c>
    </row>
    <row r="1564" spans="1:7" x14ac:dyDescent="0.25">
      <c r="A1564" s="3">
        <v>44014</v>
      </c>
      <c r="B1564" s="2" t="str">
        <f t="shared" si="24"/>
        <v>sa-2-7</v>
      </c>
      <c r="C1564" t="s">
        <v>310</v>
      </c>
      <c r="D1564" t="s">
        <v>8</v>
      </c>
      <c r="E1564">
        <v>3</v>
      </c>
      <c r="F1564" s="6">
        <f>VLOOKUP(D1564,Products!A$2:C$101,3,FALSE)*E1564</f>
        <v>189</v>
      </c>
      <c r="G1564" t="s">
        <v>395</v>
      </c>
    </row>
    <row r="1565" spans="1:7" x14ac:dyDescent="0.25">
      <c r="A1565" s="3">
        <v>44318</v>
      </c>
      <c r="B1565" s="2" t="str">
        <f t="shared" si="24"/>
        <v>sa-2-5</v>
      </c>
      <c r="C1565" t="s">
        <v>318</v>
      </c>
      <c r="D1565" t="s">
        <v>38</v>
      </c>
      <c r="E1565">
        <v>3</v>
      </c>
      <c r="F1565" s="6">
        <f>VLOOKUP(D1565,Products!A$2:C$101,3,FALSE)*E1565</f>
        <v>96</v>
      </c>
      <c r="G1565" t="s">
        <v>405</v>
      </c>
    </row>
    <row r="1566" spans="1:7" x14ac:dyDescent="0.25">
      <c r="A1566" s="3">
        <v>44622</v>
      </c>
      <c r="B1566" s="2" t="str">
        <f t="shared" si="24"/>
        <v>sa-2-3</v>
      </c>
      <c r="C1566" t="s">
        <v>316</v>
      </c>
      <c r="D1566" t="s">
        <v>100</v>
      </c>
      <c r="E1566">
        <v>5</v>
      </c>
      <c r="F1566" s="6">
        <f>VLOOKUP(D1566,Products!A$2:C$101,3,FALSE)*E1566</f>
        <v>75</v>
      </c>
      <c r="G1566" t="s">
        <v>402</v>
      </c>
    </row>
    <row r="1567" spans="1:7" x14ac:dyDescent="0.25">
      <c r="A1567" s="3">
        <v>43935</v>
      </c>
      <c r="B1567" s="2" t="str">
        <f t="shared" si="24"/>
        <v>sa-14-4</v>
      </c>
      <c r="C1567" t="s">
        <v>342</v>
      </c>
      <c r="D1567" t="s">
        <v>64</v>
      </c>
      <c r="E1567">
        <v>4</v>
      </c>
      <c r="F1567" s="6">
        <f>VLOOKUP(D1567,Products!A$2:C$101,3,FALSE)*E1567</f>
        <v>140</v>
      </c>
      <c r="G1567" t="s">
        <v>397</v>
      </c>
    </row>
    <row r="1568" spans="1:7" x14ac:dyDescent="0.25">
      <c r="A1568" s="3">
        <v>43980</v>
      </c>
      <c r="B1568" s="2" t="str">
        <f t="shared" si="24"/>
        <v>sa-29-5</v>
      </c>
      <c r="C1568" t="s">
        <v>335</v>
      </c>
      <c r="D1568" t="s">
        <v>32</v>
      </c>
      <c r="E1568">
        <v>5</v>
      </c>
      <c r="F1568" s="6">
        <f>VLOOKUP(D1568,Products!A$2:C$101,3,FALSE)*E1568</f>
        <v>170</v>
      </c>
      <c r="G1568" t="s">
        <v>398</v>
      </c>
    </row>
    <row r="1569" spans="1:7" x14ac:dyDescent="0.25">
      <c r="A1569" s="3">
        <v>44468</v>
      </c>
      <c r="B1569" s="2" t="str">
        <f t="shared" si="24"/>
        <v>sa-29-9</v>
      </c>
      <c r="C1569" t="s">
        <v>307</v>
      </c>
      <c r="D1569" t="s">
        <v>7</v>
      </c>
      <c r="E1569">
        <v>6</v>
      </c>
      <c r="F1569" s="6">
        <f>VLOOKUP(D1569,Products!A$2:C$101,3,FALSE)*E1569</f>
        <v>444</v>
      </c>
      <c r="G1569" t="s">
        <v>401</v>
      </c>
    </row>
    <row r="1570" spans="1:7" x14ac:dyDescent="0.25">
      <c r="A1570" s="3">
        <v>44442</v>
      </c>
      <c r="B1570" s="2" t="str">
        <f t="shared" si="24"/>
        <v>sa-3-9</v>
      </c>
      <c r="C1570" t="s">
        <v>317</v>
      </c>
      <c r="D1570" t="s">
        <v>46</v>
      </c>
      <c r="E1570">
        <v>2</v>
      </c>
      <c r="F1570" s="6">
        <f>VLOOKUP(D1570,Products!A$2:C$101,3,FALSE)*E1570</f>
        <v>60</v>
      </c>
      <c r="G1570" t="s">
        <v>401</v>
      </c>
    </row>
    <row r="1571" spans="1:7" x14ac:dyDescent="0.25">
      <c r="A1571" s="3">
        <v>43898</v>
      </c>
      <c r="B1571" s="2" t="str">
        <f t="shared" si="24"/>
        <v>sa-8-3</v>
      </c>
      <c r="C1571" t="s">
        <v>318</v>
      </c>
      <c r="D1571" t="s">
        <v>87</v>
      </c>
      <c r="E1571">
        <v>3</v>
      </c>
      <c r="F1571" s="6">
        <f>VLOOKUP(D1571,Products!A$2:C$101,3,FALSE)*E1571</f>
        <v>39</v>
      </c>
      <c r="G1571" t="s">
        <v>397</v>
      </c>
    </row>
    <row r="1572" spans="1:7" x14ac:dyDescent="0.25">
      <c r="A1572" s="3">
        <v>44741</v>
      </c>
      <c r="B1572" s="2" t="str">
        <f t="shared" si="24"/>
        <v>sa-29-6</v>
      </c>
      <c r="C1572" t="s">
        <v>344</v>
      </c>
      <c r="D1572" t="s">
        <v>92</v>
      </c>
      <c r="E1572">
        <v>6</v>
      </c>
      <c r="F1572" s="6">
        <f>VLOOKUP(D1572,Products!A$2:C$101,3,FALSE)*E1572</f>
        <v>84</v>
      </c>
      <c r="G1572" t="s">
        <v>404</v>
      </c>
    </row>
    <row r="1573" spans="1:7" x14ac:dyDescent="0.25">
      <c r="A1573" s="3">
        <v>44445</v>
      </c>
      <c r="B1573" s="2" t="str">
        <f t="shared" si="24"/>
        <v>sa-6-9</v>
      </c>
      <c r="C1573" t="s">
        <v>347</v>
      </c>
      <c r="D1573" t="s">
        <v>45</v>
      </c>
      <c r="E1573">
        <v>5</v>
      </c>
      <c r="F1573" s="6">
        <f>VLOOKUP(D1573,Products!A$2:C$101,3,FALSE)*E1573</f>
        <v>150</v>
      </c>
      <c r="G1573" t="s">
        <v>395</v>
      </c>
    </row>
    <row r="1574" spans="1:7" x14ac:dyDescent="0.25">
      <c r="A1574" s="3">
        <v>44130</v>
      </c>
      <c r="B1574" s="2" t="str">
        <f t="shared" si="24"/>
        <v>sa-26-10</v>
      </c>
      <c r="C1574" t="s">
        <v>310</v>
      </c>
      <c r="D1574" t="s">
        <v>37</v>
      </c>
      <c r="E1574">
        <v>6</v>
      </c>
      <c r="F1574" s="6">
        <f>VLOOKUP(D1574,Products!A$2:C$101,3,FALSE)*E1574</f>
        <v>198</v>
      </c>
      <c r="G1574" t="s">
        <v>398</v>
      </c>
    </row>
    <row r="1575" spans="1:7" x14ac:dyDescent="0.25">
      <c r="A1575" s="3">
        <v>44025</v>
      </c>
      <c r="B1575" s="2" t="str">
        <f t="shared" si="24"/>
        <v>sa-13-7</v>
      </c>
      <c r="C1575" t="s">
        <v>315</v>
      </c>
      <c r="D1575" t="s">
        <v>67</v>
      </c>
      <c r="E1575">
        <v>4</v>
      </c>
      <c r="F1575" s="6">
        <f>VLOOKUP(D1575,Products!A$2:C$101,3,FALSE)*E1575</f>
        <v>128</v>
      </c>
      <c r="G1575" t="s">
        <v>401</v>
      </c>
    </row>
    <row r="1576" spans="1:7" x14ac:dyDescent="0.25">
      <c r="A1576" s="3">
        <v>44599</v>
      </c>
      <c r="B1576" s="2" t="str">
        <f t="shared" si="24"/>
        <v>sa-7-2</v>
      </c>
      <c r="C1576" t="s">
        <v>317</v>
      </c>
      <c r="D1576" t="s">
        <v>93</v>
      </c>
      <c r="E1576">
        <v>3</v>
      </c>
      <c r="F1576" s="6">
        <f>VLOOKUP(D1576,Products!A$2:C$101,3,FALSE)*E1576</f>
        <v>51</v>
      </c>
      <c r="G1576" t="s">
        <v>398</v>
      </c>
    </row>
    <row r="1577" spans="1:7" x14ac:dyDescent="0.25">
      <c r="A1577" s="3">
        <v>44059</v>
      </c>
      <c r="B1577" s="2" t="str">
        <f t="shared" si="24"/>
        <v>sa-16-8</v>
      </c>
      <c r="C1577" t="s">
        <v>342</v>
      </c>
      <c r="D1577" t="s">
        <v>59</v>
      </c>
      <c r="E1577">
        <v>6</v>
      </c>
      <c r="F1577" s="6">
        <f>VLOOKUP(D1577,Products!A$2:C$101,3,FALSE)*E1577</f>
        <v>210</v>
      </c>
      <c r="G1577" t="s">
        <v>401</v>
      </c>
    </row>
    <row r="1578" spans="1:7" x14ac:dyDescent="0.25">
      <c r="A1578" s="3">
        <v>44562</v>
      </c>
      <c r="B1578" s="2" t="str">
        <f t="shared" si="24"/>
        <v>sa-1-1</v>
      </c>
      <c r="C1578" t="s">
        <v>317</v>
      </c>
      <c r="D1578" t="s">
        <v>52</v>
      </c>
      <c r="E1578">
        <v>2</v>
      </c>
      <c r="F1578" s="6">
        <f>VLOOKUP(D1578,Products!A$2:C$101,3,FALSE)*E1578</f>
        <v>66</v>
      </c>
      <c r="G1578" t="s">
        <v>404</v>
      </c>
    </row>
    <row r="1579" spans="1:7" x14ac:dyDescent="0.25">
      <c r="A1579" s="3">
        <v>43874</v>
      </c>
      <c r="B1579" s="2" t="str">
        <f t="shared" si="24"/>
        <v>sa-13-2</v>
      </c>
      <c r="C1579" t="s">
        <v>348</v>
      </c>
      <c r="D1579" t="s">
        <v>71</v>
      </c>
      <c r="E1579">
        <v>6</v>
      </c>
      <c r="F1579" s="6">
        <f>VLOOKUP(D1579,Products!A$2:C$101,3,FALSE)*E1579</f>
        <v>204</v>
      </c>
      <c r="G1579" t="s">
        <v>402</v>
      </c>
    </row>
    <row r="1580" spans="1:7" x14ac:dyDescent="0.25">
      <c r="A1580" s="3">
        <v>44440</v>
      </c>
      <c r="B1580" s="2" t="str">
        <f t="shared" si="24"/>
        <v>sa-1-9</v>
      </c>
      <c r="C1580" t="s">
        <v>320</v>
      </c>
      <c r="D1580" t="s">
        <v>54</v>
      </c>
      <c r="E1580">
        <v>5</v>
      </c>
      <c r="F1580" s="6">
        <f>VLOOKUP(D1580,Products!A$2:C$101,3,FALSE)*E1580</f>
        <v>175</v>
      </c>
      <c r="G1580" t="s">
        <v>396</v>
      </c>
    </row>
    <row r="1581" spans="1:7" x14ac:dyDescent="0.25">
      <c r="A1581" s="3">
        <v>44244</v>
      </c>
      <c r="B1581" s="2" t="str">
        <f t="shared" si="24"/>
        <v>sa-17-2</v>
      </c>
      <c r="C1581" t="s">
        <v>340</v>
      </c>
      <c r="D1581" t="s">
        <v>23</v>
      </c>
      <c r="E1581">
        <v>2</v>
      </c>
      <c r="F1581" s="6">
        <f>VLOOKUP(D1581,Products!A$2:C$101,3,FALSE)*E1581</f>
        <v>62</v>
      </c>
      <c r="G1581" t="s">
        <v>395</v>
      </c>
    </row>
    <row r="1582" spans="1:7" x14ac:dyDescent="0.25">
      <c r="A1582" s="3">
        <v>43993</v>
      </c>
      <c r="B1582" s="2" t="str">
        <f t="shared" si="24"/>
        <v>sa-11-6</v>
      </c>
      <c r="C1582" t="s">
        <v>312</v>
      </c>
      <c r="D1582" t="s">
        <v>52</v>
      </c>
      <c r="E1582">
        <v>3</v>
      </c>
      <c r="F1582" s="6">
        <f>VLOOKUP(D1582,Products!A$2:C$101,3,FALSE)*E1582</f>
        <v>99</v>
      </c>
      <c r="G1582" t="s">
        <v>408</v>
      </c>
    </row>
    <row r="1583" spans="1:7" x14ac:dyDescent="0.25">
      <c r="A1583" s="3">
        <v>43983</v>
      </c>
      <c r="B1583" s="2" t="str">
        <f t="shared" si="24"/>
        <v>sa-1-6</v>
      </c>
      <c r="C1583" t="s">
        <v>342</v>
      </c>
      <c r="D1583" t="s">
        <v>71</v>
      </c>
      <c r="E1583">
        <v>3</v>
      </c>
      <c r="F1583" s="6">
        <f>VLOOKUP(D1583,Products!A$2:C$101,3,FALSE)*E1583</f>
        <v>102</v>
      </c>
      <c r="G1583" t="s">
        <v>408</v>
      </c>
    </row>
    <row r="1584" spans="1:7" x14ac:dyDescent="0.25">
      <c r="A1584" s="3">
        <v>43928</v>
      </c>
      <c r="B1584" s="2" t="str">
        <f t="shared" si="24"/>
        <v>sa-7-4</v>
      </c>
      <c r="C1584" t="s">
        <v>344</v>
      </c>
      <c r="D1584" t="s">
        <v>58</v>
      </c>
      <c r="E1584">
        <v>5</v>
      </c>
      <c r="F1584" s="6">
        <f>VLOOKUP(D1584,Products!A$2:C$101,3,FALSE)*E1584</f>
        <v>175</v>
      </c>
      <c r="G1584" t="s">
        <v>397</v>
      </c>
    </row>
    <row r="1585" spans="1:7" x14ac:dyDescent="0.25">
      <c r="A1585" s="3">
        <v>43952</v>
      </c>
      <c r="B1585" s="2" t="str">
        <f t="shared" si="24"/>
        <v>sa-1-5</v>
      </c>
      <c r="C1585" t="s">
        <v>312</v>
      </c>
      <c r="D1585" t="s">
        <v>13</v>
      </c>
      <c r="E1585">
        <v>5</v>
      </c>
      <c r="F1585" s="6">
        <f>VLOOKUP(D1585,Products!A$2:C$101,3,FALSE)*E1585</f>
        <v>355</v>
      </c>
      <c r="G1585" t="s">
        <v>398</v>
      </c>
    </row>
    <row r="1586" spans="1:7" x14ac:dyDescent="0.25">
      <c r="A1586" s="3">
        <v>43962</v>
      </c>
      <c r="B1586" s="2" t="str">
        <f t="shared" si="24"/>
        <v>sa-11-5</v>
      </c>
      <c r="C1586" t="s">
        <v>329</v>
      </c>
      <c r="D1586" t="s">
        <v>3</v>
      </c>
      <c r="E1586">
        <v>4</v>
      </c>
      <c r="F1586" s="6">
        <f>VLOOKUP(D1586,Products!A$2:C$101,3,FALSE)*E1586</f>
        <v>296</v>
      </c>
      <c r="G1586" t="s">
        <v>408</v>
      </c>
    </row>
    <row r="1587" spans="1:7" x14ac:dyDescent="0.25">
      <c r="A1587" s="3">
        <v>44739</v>
      </c>
      <c r="B1587" s="2" t="str">
        <f t="shared" si="24"/>
        <v>sa-27-6</v>
      </c>
      <c r="C1587" t="s">
        <v>329</v>
      </c>
      <c r="D1587" t="s">
        <v>96</v>
      </c>
      <c r="E1587">
        <v>6</v>
      </c>
      <c r="F1587" s="6">
        <f>VLOOKUP(D1587,Products!A$2:C$101,3,FALSE)*E1587</f>
        <v>60</v>
      </c>
      <c r="G1587" t="s">
        <v>399</v>
      </c>
    </row>
    <row r="1588" spans="1:7" x14ac:dyDescent="0.25">
      <c r="A1588" s="3">
        <v>44360</v>
      </c>
      <c r="B1588" s="2" t="str">
        <f t="shared" si="24"/>
        <v>sa-13-6</v>
      </c>
      <c r="C1588" t="s">
        <v>321</v>
      </c>
      <c r="D1588" t="s">
        <v>14</v>
      </c>
      <c r="E1588">
        <v>6</v>
      </c>
      <c r="F1588" s="6">
        <f>VLOOKUP(D1588,Products!A$2:C$101,3,FALSE)*E1588</f>
        <v>474</v>
      </c>
      <c r="G1588" t="s">
        <v>405</v>
      </c>
    </row>
    <row r="1589" spans="1:7" x14ac:dyDescent="0.25">
      <c r="A1589" s="3">
        <v>44343</v>
      </c>
      <c r="B1589" s="2" t="str">
        <f t="shared" si="24"/>
        <v>sa-27-5</v>
      </c>
      <c r="C1589" t="s">
        <v>307</v>
      </c>
      <c r="D1589" t="s">
        <v>59</v>
      </c>
      <c r="E1589">
        <v>4</v>
      </c>
      <c r="F1589" s="6">
        <f>VLOOKUP(D1589,Products!A$2:C$101,3,FALSE)*E1589</f>
        <v>140</v>
      </c>
      <c r="G1589" t="s">
        <v>396</v>
      </c>
    </row>
    <row r="1590" spans="1:7" x14ac:dyDescent="0.25">
      <c r="A1590" s="3">
        <v>44525</v>
      </c>
      <c r="B1590" s="2" t="str">
        <f t="shared" si="24"/>
        <v>sa-25-11</v>
      </c>
      <c r="C1590" t="s">
        <v>351</v>
      </c>
      <c r="D1590" t="s">
        <v>90</v>
      </c>
      <c r="E1590">
        <v>2</v>
      </c>
      <c r="F1590" s="6">
        <f>VLOOKUP(D1590,Products!A$2:C$101,3,FALSE)*E1590</f>
        <v>20</v>
      </c>
      <c r="G1590" t="s">
        <v>396</v>
      </c>
    </row>
    <row r="1591" spans="1:7" x14ac:dyDescent="0.25">
      <c r="A1591" s="3">
        <v>44544</v>
      </c>
      <c r="B1591" s="2" t="str">
        <f t="shared" si="24"/>
        <v>sa-14-12</v>
      </c>
      <c r="C1591" t="s">
        <v>341</v>
      </c>
      <c r="D1591" t="s">
        <v>45</v>
      </c>
      <c r="E1591">
        <v>4</v>
      </c>
      <c r="F1591" s="6">
        <f>VLOOKUP(D1591,Products!A$2:C$101,3,FALSE)*E1591</f>
        <v>120</v>
      </c>
      <c r="G1591" t="s">
        <v>400</v>
      </c>
    </row>
    <row r="1592" spans="1:7" x14ac:dyDescent="0.25">
      <c r="A1592" s="3">
        <v>44729</v>
      </c>
      <c r="B1592" s="2" t="str">
        <f t="shared" si="24"/>
        <v>sa-17-6</v>
      </c>
      <c r="C1592" t="s">
        <v>320</v>
      </c>
      <c r="D1592" t="s">
        <v>93</v>
      </c>
      <c r="E1592">
        <v>6</v>
      </c>
      <c r="F1592" s="6">
        <f>VLOOKUP(D1592,Products!A$2:C$101,3,FALSE)*E1592</f>
        <v>102</v>
      </c>
      <c r="G1592" t="s">
        <v>402</v>
      </c>
    </row>
    <row r="1593" spans="1:7" x14ac:dyDescent="0.25">
      <c r="A1593" s="3">
        <v>44224</v>
      </c>
      <c r="B1593" s="2" t="str">
        <f t="shared" si="24"/>
        <v>sa-28-1</v>
      </c>
      <c r="C1593" t="s">
        <v>340</v>
      </c>
      <c r="D1593" t="s">
        <v>53</v>
      </c>
      <c r="E1593">
        <v>5</v>
      </c>
      <c r="F1593" s="6">
        <f>VLOOKUP(D1593,Products!A$2:C$101,3,FALSE)*E1593</f>
        <v>160</v>
      </c>
      <c r="G1593" t="s">
        <v>395</v>
      </c>
    </row>
    <row r="1594" spans="1:7" x14ac:dyDescent="0.25">
      <c r="A1594" s="3">
        <v>44315</v>
      </c>
      <c r="B1594" s="2" t="str">
        <f t="shared" si="24"/>
        <v>sa-29-4</v>
      </c>
      <c r="C1594" t="s">
        <v>308</v>
      </c>
      <c r="D1594" t="s">
        <v>23</v>
      </c>
      <c r="E1594">
        <v>6</v>
      </c>
      <c r="F1594" s="6">
        <f>VLOOKUP(D1594,Products!A$2:C$101,3,FALSE)*E1594</f>
        <v>186</v>
      </c>
      <c r="G1594" t="s">
        <v>398</v>
      </c>
    </row>
    <row r="1595" spans="1:7" x14ac:dyDescent="0.25">
      <c r="A1595" s="3">
        <v>44678</v>
      </c>
      <c r="B1595" s="2" t="str">
        <f t="shared" si="24"/>
        <v>sa-27-4</v>
      </c>
      <c r="C1595" t="s">
        <v>332</v>
      </c>
      <c r="D1595" t="s">
        <v>58</v>
      </c>
      <c r="E1595">
        <v>4</v>
      </c>
      <c r="F1595" s="6">
        <f>VLOOKUP(D1595,Products!A$2:C$101,3,FALSE)*E1595</f>
        <v>140</v>
      </c>
      <c r="G1595" t="s">
        <v>395</v>
      </c>
    </row>
    <row r="1596" spans="1:7" x14ac:dyDescent="0.25">
      <c r="A1596" s="3">
        <v>44301</v>
      </c>
      <c r="B1596" s="2" t="str">
        <f t="shared" si="24"/>
        <v>sa-15-4</v>
      </c>
      <c r="C1596" t="s">
        <v>316</v>
      </c>
      <c r="D1596" t="s">
        <v>82</v>
      </c>
      <c r="E1596">
        <v>6</v>
      </c>
      <c r="F1596" s="6">
        <f>VLOOKUP(D1596,Products!A$2:C$101,3,FALSE)*E1596</f>
        <v>192</v>
      </c>
      <c r="G1596" t="s">
        <v>408</v>
      </c>
    </row>
    <row r="1597" spans="1:7" x14ac:dyDescent="0.25">
      <c r="A1597" s="3">
        <v>44124</v>
      </c>
      <c r="B1597" s="2" t="str">
        <f t="shared" si="24"/>
        <v>sa-20-10</v>
      </c>
      <c r="C1597" t="s">
        <v>341</v>
      </c>
      <c r="D1597" t="s">
        <v>87</v>
      </c>
      <c r="E1597">
        <v>4</v>
      </c>
      <c r="F1597" s="6">
        <f>VLOOKUP(D1597,Products!A$2:C$101,3,FALSE)*E1597</f>
        <v>52</v>
      </c>
      <c r="G1597" t="s">
        <v>399</v>
      </c>
    </row>
    <row r="1598" spans="1:7" x14ac:dyDescent="0.25">
      <c r="A1598" s="3">
        <v>44479</v>
      </c>
      <c r="B1598" s="2" t="str">
        <f t="shared" si="24"/>
        <v>sa-10-10</v>
      </c>
      <c r="C1598" t="s">
        <v>344</v>
      </c>
      <c r="D1598" t="s">
        <v>71</v>
      </c>
      <c r="E1598">
        <v>5</v>
      </c>
      <c r="F1598" s="6">
        <f>VLOOKUP(D1598,Products!A$2:C$101,3,FALSE)*E1598</f>
        <v>170</v>
      </c>
      <c r="G1598" t="s">
        <v>396</v>
      </c>
    </row>
    <row r="1599" spans="1:7" x14ac:dyDescent="0.25">
      <c r="A1599" s="3">
        <v>44507</v>
      </c>
      <c r="B1599" s="2" t="str">
        <f t="shared" si="24"/>
        <v>sa-7-11</v>
      </c>
      <c r="C1599" t="s">
        <v>313</v>
      </c>
      <c r="D1599" t="s">
        <v>71</v>
      </c>
      <c r="E1599">
        <v>6</v>
      </c>
      <c r="F1599" s="6">
        <f>VLOOKUP(D1599,Products!A$2:C$101,3,FALSE)*E1599</f>
        <v>204</v>
      </c>
      <c r="G1599" t="s">
        <v>399</v>
      </c>
    </row>
    <row r="1600" spans="1:7" x14ac:dyDescent="0.25">
      <c r="A1600" s="3">
        <v>43975</v>
      </c>
      <c r="B1600" s="2" t="str">
        <f t="shared" si="24"/>
        <v>sa-24-5</v>
      </c>
      <c r="C1600" t="s">
        <v>329</v>
      </c>
      <c r="D1600" t="s">
        <v>90</v>
      </c>
      <c r="E1600">
        <v>2</v>
      </c>
      <c r="F1600" s="6">
        <f>VLOOKUP(D1600,Products!A$2:C$101,3,FALSE)*E1600</f>
        <v>20</v>
      </c>
      <c r="G1600" t="s">
        <v>400</v>
      </c>
    </row>
    <row r="1601" spans="1:7" x14ac:dyDescent="0.25">
      <c r="A1601" s="3">
        <v>44652</v>
      </c>
      <c r="B1601" s="2" t="str">
        <f t="shared" si="24"/>
        <v>sa-1-4</v>
      </c>
      <c r="C1601" t="s">
        <v>307</v>
      </c>
      <c r="D1601" t="s">
        <v>48</v>
      </c>
      <c r="E1601">
        <v>4</v>
      </c>
      <c r="F1601" s="6">
        <f>VLOOKUP(D1601,Products!A$2:C$101,3,FALSE)*E1601</f>
        <v>132</v>
      </c>
      <c r="G1601" t="s">
        <v>408</v>
      </c>
    </row>
    <row r="1602" spans="1:7" x14ac:dyDescent="0.25">
      <c r="A1602" s="3">
        <v>44206</v>
      </c>
      <c r="B1602" s="2" t="str">
        <f t="shared" si="24"/>
        <v>sa-10-1</v>
      </c>
      <c r="C1602" t="s">
        <v>352</v>
      </c>
      <c r="D1602" t="s">
        <v>34</v>
      </c>
      <c r="E1602">
        <v>2</v>
      </c>
      <c r="F1602" s="6">
        <f>VLOOKUP(D1602,Products!A$2:C$101,3,FALSE)*E1602</f>
        <v>70</v>
      </c>
      <c r="G1602" t="s">
        <v>396</v>
      </c>
    </row>
    <row r="1603" spans="1:7" x14ac:dyDescent="0.25">
      <c r="A1603" s="3">
        <v>43869</v>
      </c>
      <c r="B1603" s="2" t="str">
        <f t="shared" ref="B1603:B1666" si="25">"sa-"&amp;DAY(A1603)&amp;"-"&amp;MONTH(A1603)</f>
        <v>sa-8-2</v>
      </c>
      <c r="C1603" t="s">
        <v>353</v>
      </c>
      <c r="D1603" t="s">
        <v>32</v>
      </c>
      <c r="E1603">
        <v>3</v>
      </c>
      <c r="F1603" s="6">
        <f>VLOOKUP(D1603,Products!A$2:C$101,3,FALSE)*E1603</f>
        <v>102</v>
      </c>
      <c r="G1603" t="s">
        <v>401</v>
      </c>
    </row>
    <row r="1604" spans="1:7" x14ac:dyDescent="0.25">
      <c r="A1604" s="3">
        <v>44301</v>
      </c>
      <c r="B1604" s="2" t="str">
        <f t="shared" si="25"/>
        <v>sa-15-4</v>
      </c>
      <c r="C1604" t="s">
        <v>348</v>
      </c>
      <c r="D1604" t="s">
        <v>27</v>
      </c>
      <c r="E1604">
        <v>3</v>
      </c>
      <c r="F1604" s="6">
        <f>VLOOKUP(D1604,Products!A$2:C$101,3,FALSE)*E1604</f>
        <v>102</v>
      </c>
      <c r="G1604" t="s">
        <v>398</v>
      </c>
    </row>
    <row r="1605" spans="1:7" x14ac:dyDescent="0.25">
      <c r="A1605" s="3">
        <v>43964</v>
      </c>
      <c r="B1605" s="2" t="str">
        <f t="shared" si="25"/>
        <v>sa-13-5</v>
      </c>
      <c r="C1605" t="s">
        <v>316</v>
      </c>
      <c r="D1605" t="s">
        <v>23</v>
      </c>
      <c r="E1605">
        <v>6</v>
      </c>
      <c r="F1605" s="6">
        <f>VLOOKUP(D1605,Products!A$2:C$101,3,FALSE)*E1605</f>
        <v>186</v>
      </c>
      <c r="G1605" t="s">
        <v>397</v>
      </c>
    </row>
    <row r="1606" spans="1:7" x14ac:dyDescent="0.25">
      <c r="A1606" s="3">
        <v>44383</v>
      </c>
      <c r="B1606" s="2" t="str">
        <f t="shared" si="25"/>
        <v>sa-6-7</v>
      </c>
      <c r="C1606" t="s">
        <v>326</v>
      </c>
      <c r="D1606" t="s">
        <v>49</v>
      </c>
      <c r="E1606">
        <v>3</v>
      </c>
      <c r="F1606" s="6">
        <f>VLOOKUP(D1606,Products!A$2:C$101,3,FALSE)*E1606</f>
        <v>99</v>
      </c>
      <c r="G1606" t="s">
        <v>403</v>
      </c>
    </row>
    <row r="1607" spans="1:7" x14ac:dyDescent="0.25">
      <c r="A1607" s="3">
        <v>44218</v>
      </c>
      <c r="B1607" s="2" t="str">
        <f t="shared" si="25"/>
        <v>sa-22-1</v>
      </c>
      <c r="C1607" t="s">
        <v>314</v>
      </c>
      <c r="D1607" t="s">
        <v>84</v>
      </c>
      <c r="E1607">
        <v>5</v>
      </c>
      <c r="F1607" s="6">
        <f>VLOOKUP(D1607,Products!A$2:C$101,3,FALSE)*E1607</f>
        <v>175</v>
      </c>
      <c r="G1607" t="s">
        <v>396</v>
      </c>
    </row>
    <row r="1608" spans="1:7" x14ac:dyDescent="0.25">
      <c r="A1608" s="3">
        <v>44058</v>
      </c>
      <c r="B1608" s="2" t="str">
        <f t="shared" si="25"/>
        <v>sa-15-8</v>
      </c>
      <c r="C1608" t="s">
        <v>317</v>
      </c>
      <c r="D1608" t="s">
        <v>17</v>
      </c>
      <c r="E1608">
        <v>4</v>
      </c>
      <c r="F1608" s="6">
        <f>VLOOKUP(D1608,Products!A$2:C$101,3,FALSE)*E1608</f>
        <v>128</v>
      </c>
      <c r="G1608" t="s">
        <v>407</v>
      </c>
    </row>
    <row r="1609" spans="1:7" x14ac:dyDescent="0.25">
      <c r="A1609" s="3">
        <v>44443</v>
      </c>
      <c r="B1609" s="2" t="str">
        <f t="shared" si="25"/>
        <v>sa-4-9</v>
      </c>
      <c r="C1609" t="s">
        <v>348</v>
      </c>
      <c r="D1609" t="s">
        <v>64</v>
      </c>
      <c r="E1609">
        <v>5</v>
      </c>
      <c r="F1609" s="6">
        <f>VLOOKUP(D1609,Products!A$2:C$101,3,FALSE)*E1609</f>
        <v>175</v>
      </c>
      <c r="G1609" t="s">
        <v>399</v>
      </c>
    </row>
    <row r="1610" spans="1:7" x14ac:dyDescent="0.25">
      <c r="A1610" s="3">
        <v>44598</v>
      </c>
      <c r="B1610" s="2" t="str">
        <f t="shared" si="25"/>
        <v>sa-6-2</v>
      </c>
      <c r="C1610" t="s">
        <v>322</v>
      </c>
      <c r="D1610" t="s">
        <v>68</v>
      </c>
      <c r="E1610">
        <v>6</v>
      </c>
      <c r="F1610" s="6">
        <f>VLOOKUP(D1610,Products!A$2:C$101,3,FALSE)*E1610</f>
        <v>192</v>
      </c>
      <c r="G1610" t="s">
        <v>395</v>
      </c>
    </row>
    <row r="1611" spans="1:7" x14ac:dyDescent="0.25">
      <c r="A1611" s="3">
        <v>44494</v>
      </c>
      <c r="B1611" s="2" t="str">
        <f t="shared" si="25"/>
        <v>sa-25-10</v>
      </c>
      <c r="C1611" t="s">
        <v>346</v>
      </c>
      <c r="D1611" t="s">
        <v>56</v>
      </c>
      <c r="E1611">
        <v>4</v>
      </c>
      <c r="F1611" s="6">
        <f>VLOOKUP(D1611,Products!A$2:C$101,3,FALSE)*E1611</f>
        <v>120</v>
      </c>
      <c r="G1611" t="s">
        <v>395</v>
      </c>
    </row>
    <row r="1612" spans="1:7" x14ac:dyDescent="0.25">
      <c r="A1612" s="3">
        <v>44009</v>
      </c>
      <c r="B1612" s="2" t="str">
        <f t="shared" si="25"/>
        <v>sa-27-6</v>
      </c>
      <c r="C1612" t="s">
        <v>310</v>
      </c>
      <c r="D1612" t="s">
        <v>28</v>
      </c>
      <c r="E1612">
        <v>3</v>
      </c>
      <c r="F1612" s="6">
        <f>VLOOKUP(D1612,Products!A$2:C$101,3,FALSE)*E1612</f>
        <v>90</v>
      </c>
      <c r="G1612" t="s">
        <v>395</v>
      </c>
    </row>
    <row r="1613" spans="1:7" x14ac:dyDescent="0.25">
      <c r="A1613" s="3">
        <v>44074</v>
      </c>
      <c r="B1613" s="2" t="str">
        <f t="shared" si="25"/>
        <v>sa-31-8</v>
      </c>
      <c r="C1613" t="s">
        <v>343</v>
      </c>
      <c r="D1613" t="s">
        <v>39</v>
      </c>
      <c r="E1613">
        <v>6</v>
      </c>
      <c r="F1613" s="6">
        <f>VLOOKUP(D1613,Products!A$2:C$101,3,FALSE)*E1613</f>
        <v>192</v>
      </c>
      <c r="G1613" t="s">
        <v>403</v>
      </c>
    </row>
    <row r="1614" spans="1:7" x14ac:dyDescent="0.25">
      <c r="A1614" s="3">
        <v>43943</v>
      </c>
      <c r="B1614" s="2" t="str">
        <f t="shared" si="25"/>
        <v>sa-22-4</v>
      </c>
      <c r="C1614" t="s">
        <v>325</v>
      </c>
      <c r="D1614" t="s">
        <v>31</v>
      </c>
      <c r="E1614">
        <v>2</v>
      </c>
      <c r="F1614" s="6">
        <f>VLOOKUP(D1614,Products!A$2:C$101,3,FALSE)*E1614</f>
        <v>64</v>
      </c>
      <c r="G1614" t="s">
        <v>408</v>
      </c>
    </row>
    <row r="1615" spans="1:7" x14ac:dyDescent="0.25">
      <c r="A1615" s="3">
        <v>43883</v>
      </c>
      <c r="B1615" s="2" t="str">
        <f t="shared" si="25"/>
        <v>sa-22-2</v>
      </c>
      <c r="C1615" t="s">
        <v>309</v>
      </c>
      <c r="D1615" t="s">
        <v>5</v>
      </c>
      <c r="E1615">
        <v>5</v>
      </c>
      <c r="F1615" s="6">
        <f>VLOOKUP(D1615,Products!A$2:C$101,3,FALSE)*E1615</f>
        <v>400</v>
      </c>
      <c r="G1615" t="s">
        <v>397</v>
      </c>
    </row>
    <row r="1616" spans="1:7" x14ac:dyDescent="0.25">
      <c r="A1616" s="3">
        <v>44727</v>
      </c>
      <c r="B1616" s="2" t="str">
        <f t="shared" si="25"/>
        <v>sa-15-6</v>
      </c>
      <c r="C1616" t="s">
        <v>352</v>
      </c>
      <c r="D1616" t="s">
        <v>52</v>
      </c>
      <c r="E1616">
        <v>4</v>
      </c>
      <c r="F1616" s="6">
        <f>VLOOKUP(D1616,Products!A$2:C$101,3,FALSE)*E1616</f>
        <v>132</v>
      </c>
      <c r="G1616" t="s">
        <v>399</v>
      </c>
    </row>
    <row r="1617" spans="1:7" x14ac:dyDescent="0.25">
      <c r="A1617" s="3">
        <v>44098</v>
      </c>
      <c r="B1617" s="2" t="str">
        <f t="shared" si="25"/>
        <v>sa-24-9</v>
      </c>
      <c r="C1617" t="s">
        <v>337</v>
      </c>
      <c r="D1617" t="s">
        <v>40</v>
      </c>
      <c r="E1617">
        <v>3</v>
      </c>
      <c r="F1617" s="6">
        <f>VLOOKUP(D1617,Products!A$2:C$101,3,FALSE)*E1617</f>
        <v>102</v>
      </c>
      <c r="G1617" t="s">
        <v>401</v>
      </c>
    </row>
    <row r="1618" spans="1:7" x14ac:dyDescent="0.25">
      <c r="A1618" s="3">
        <v>44712</v>
      </c>
      <c r="B1618" s="2" t="str">
        <f t="shared" si="25"/>
        <v>sa-31-5</v>
      </c>
      <c r="C1618" t="s">
        <v>309</v>
      </c>
      <c r="D1618" t="s">
        <v>25</v>
      </c>
      <c r="E1618">
        <v>5</v>
      </c>
      <c r="F1618" s="6">
        <f>VLOOKUP(D1618,Products!A$2:C$101,3,FALSE)*E1618</f>
        <v>165</v>
      </c>
      <c r="G1618" t="s">
        <v>395</v>
      </c>
    </row>
    <row r="1619" spans="1:7" x14ac:dyDescent="0.25">
      <c r="A1619" s="3">
        <v>44330</v>
      </c>
      <c r="B1619" s="2" t="str">
        <f t="shared" si="25"/>
        <v>sa-14-5</v>
      </c>
      <c r="C1619" t="s">
        <v>325</v>
      </c>
      <c r="D1619" t="s">
        <v>25</v>
      </c>
      <c r="E1619">
        <v>5</v>
      </c>
      <c r="F1619" s="6">
        <f>VLOOKUP(D1619,Products!A$2:C$101,3,FALSE)*E1619</f>
        <v>165</v>
      </c>
      <c r="G1619" t="s">
        <v>406</v>
      </c>
    </row>
    <row r="1620" spans="1:7" x14ac:dyDescent="0.25">
      <c r="A1620" s="3">
        <v>43836</v>
      </c>
      <c r="B1620" s="2" t="str">
        <f t="shared" si="25"/>
        <v>sa-6-1</v>
      </c>
      <c r="C1620" t="s">
        <v>329</v>
      </c>
      <c r="D1620" t="s">
        <v>32</v>
      </c>
      <c r="E1620">
        <v>6</v>
      </c>
      <c r="F1620" s="6">
        <f>VLOOKUP(D1620,Products!A$2:C$101,3,FALSE)*E1620</f>
        <v>204</v>
      </c>
      <c r="G1620" t="s">
        <v>405</v>
      </c>
    </row>
    <row r="1621" spans="1:7" x14ac:dyDescent="0.25">
      <c r="A1621" s="3">
        <v>44095</v>
      </c>
      <c r="B1621" s="2" t="str">
        <f t="shared" si="25"/>
        <v>sa-21-9</v>
      </c>
      <c r="C1621" t="s">
        <v>354</v>
      </c>
      <c r="D1621" t="s">
        <v>79</v>
      </c>
      <c r="E1621">
        <v>3</v>
      </c>
      <c r="F1621" s="6">
        <f>VLOOKUP(D1621,Products!A$2:C$101,3,FALSE)*E1621</f>
        <v>102</v>
      </c>
      <c r="G1621" t="s">
        <v>395</v>
      </c>
    </row>
    <row r="1622" spans="1:7" x14ac:dyDescent="0.25">
      <c r="A1622" s="3">
        <v>43973</v>
      </c>
      <c r="B1622" s="2" t="str">
        <f t="shared" si="25"/>
        <v>sa-22-5</v>
      </c>
      <c r="C1622" t="s">
        <v>323</v>
      </c>
      <c r="D1622" t="s">
        <v>63</v>
      </c>
      <c r="E1622">
        <v>2</v>
      </c>
      <c r="F1622" s="6">
        <f>VLOOKUP(D1622,Products!A$2:C$101,3,FALSE)*E1622</f>
        <v>66</v>
      </c>
      <c r="G1622" t="s">
        <v>396</v>
      </c>
    </row>
    <row r="1623" spans="1:7" x14ac:dyDescent="0.25">
      <c r="A1623" s="3">
        <v>44304</v>
      </c>
      <c r="B1623" s="2" t="str">
        <f t="shared" si="25"/>
        <v>sa-18-4</v>
      </c>
      <c r="C1623" t="s">
        <v>329</v>
      </c>
      <c r="D1623" t="s">
        <v>21</v>
      </c>
      <c r="E1623">
        <v>3</v>
      </c>
      <c r="F1623" s="6">
        <f>VLOOKUP(D1623,Products!A$2:C$101,3,FALSE)*E1623</f>
        <v>99</v>
      </c>
      <c r="G1623" t="s">
        <v>397</v>
      </c>
    </row>
    <row r="1624" spans="1:7" x14ac:dyDescent="0.25">
      <c r="A1624" s="3">
        <v>44492</v>
      </c>
      <c r="B1624" s="2" t="str">
        <f t="shared" si="25"/>
        <v>sa-23-10</v>
      </c>
      <c r="C1624" t="s">
        <v>343</v>
      </c>
      <c r="D1624" t="s">
        <v>78</v>
      </c>
      <c r="E1624">
        <v>4</v>
      </c>
      <c r="F1624" s="6">
        <f>VLOOKUP(D1624,Products!A$2:C$101,3,FALSE)*E1624</f>
        <v>136</v>
      </c>
      <c r="G1624" t="s">
        <v>404</v>
      </c>
    </row>
    <row r="1625" spans="1:7" x14ac:dyDescent="0.25">
      <c r="A1625" s="3">
        <v>44240</v>
      </c>
      <c r="B1625" s="2" t="str">
        <f t="shared" si="25"/>
        <v>sa-13-2</v>
      </c>
      <c r="C1625" t="s">
        <v>324</v>
      </c>
      <c r="D1625" t="s">
        <v>98</v>
      </c>
      <c r="E1625">
        <v>3</v>
      </c>
      <c r="F1625" s="6">
        <f>VLOOKUP(D1625,Products!A$2:C$101,3,FALSE)*E1625</f>
        <v>57</v>
      </c>
      <c r="G1625" t="s">
        <v>403</v>
      </c>
    </row>
    <row r="1626" spans="1:7" x14ac:dyDescent="0.25">
      <c r="A1626" s="3">
        <v>44036</v>
      </c>
      <c r="B1626" s="2" t="str">
        <f t="shared" si="25"/>
        <v>sa-24-7</v>
      </c>
      <c r="C1626" t="s">
        <v>327</v>
      </c>
      <c r="D1626" t="s">
        <v>23</v>
      </c>
      <c r="E1626">
        <v>4</v>
      </c>
      <c r="F1626" s="6">
        <f>VLOOKUP(D1626,Products!A$2:C$101,3,FALSE)*E1626</f>
        <v>124</v>
      </c>
      <c r="G1626" t="s">
        <v>406</v>
      </c>
    </row>
    <row r="1627" spans="1:7" x14ac:dyDescent="0.25">
      <c r="A1627" s="3">
        <v>43841</v>
      </c>
      <c r="B1627" s="2" t="str">
        <f t="shared" si="25"/>
        <v>sa-11-1</v>
      </c>
      <c r="C1627" t="s">
        <v>333</v>
      </c>
      <c r="D1627" t="s">
        <v>8</v>
      </c>
      <c r="E1627">
        <v>2</v>
      </c>
      <c r="F1627" s="6">
        <f>VLOOKUP(D1627,Products!A$2:C$101,3,FALSE)*E1627</f>
        <v>126</v>
      </c>
      <c r="G1627" t="s">
        <v>405</v>
      </c>
    </row>
    <row r="1628" spans="1:7" x14ac:dyDescent="0.25">
      <c r="A1628" s="3">
        <v>44730</v>
      </c>
      <c r="B1628" s="2" t="str">
        <f t="shared" si="25"/>
        <v>sa-18-6</v>
      </c>
      <c r="C1628" t="s">
        <v>326</v>
      </c>
      <c r="D1628" t="s">
        <v>8</v>
      </c>
      <c r="E1628">
        <v>3</v>
      </c>
      <c r="F1628" s="6">
        <f>VLOOKUP(D1628,Products!A$2:C$101,3,FALSE)*E1628</f>
        <v>189</v>
      </c>
      <c r="G1628" t="s">
        <v>396</v>
      </c>
    </row>
    <row r="1629" spans="1:7" x14ac:dyDescent="0.25">
      <c r="A1629" s="3">
        <v>44060</v>
      </c>
      <c r="B1629" s="2" t="str">
        <f t="shared" si="25"/>
        <v>sa-17-8</v>
      </c>
      <c r="C1629" t="s">
        <v>342</v>
      </c>
      <c r="D1629" t="s">
        <v>71</v>
      </c>
      <c r="E1629">
        <v>2</v>
      </c>
      <c r="F1629" s="6">
        <f>VLOOKUP(D1629,Products!A$2:C$101,3,FALSE)*E1629</f>
        <v>68</v>
      </c>
      <c r="G1629" t="s">
        <v>407</v>
      </c>
    </row>
    <row r="1630" spans="1:7" x14ac:dyDescent="0.25">
      <c r="A1630" s="3">
        <v>43982</v>
      </c>
      <c r="B1630" s="2" t="str">
        <f t="shared" si="25"/>
        <v>sa-31-5</v>
      </c>
      <c r="C1630" t="s">
        <v>352</v>
      </c>
      <c r="D1630" t="s">
        <v>2</v>
      </c>
      <c r="E1630">
        <v>6</v>
      </c>
      <c r="F1630" s="6">
        <f>VLOOKUP(D1630,Products!A$2:C$101,3,FALSE)*E1630</f>
        <v>396</v>
      </c>
      <c r="G1630" t="s">
        <v>396</v>
      </c>
    </row>
    <row r="1631" spans="1:7" x14ac:dyDescent="0.25">
      <c r="A1631" s="3">
        <v>44032</v>
      </c>
      <c r="B1631" s="2" t="str">
        <f t="shared" si="25"/>
        <v>sa-20-7</v>
      </c>
      <c r="C1631" t="s">
        <v>314</v>
      </c>
      <c r="D1631" t="s">
        <v>44</v>
      </c>
      <c r="E1631">
        <v>3</v>
      </c>
      <c r="F1631" s="6">
        <f>VLOOKUP(D1631,Products!A$2:C$101,3,FALSE)*E1631</f>
        <v>93</v>
      </c>
      <c r="G1631" t="s">
        <v>399</v>
      </c>
    </row>
    <row r="1632" spans="1:7" x14ac:dyDescent="0.25">
      <c r="A1632" s="3">
        <v>43962</v>
      </c>
      <c r="B1632" s="2" t="str">
        <f t="shared" si="25"/>
        <v>sa-11-5</v>
      </c>
      <c r="C1632" t="s">
        <v>314</v>
      </c>
      <c r="D1632" t="s">
        <v>101</v>
      </c>
      <c r="E1632">
        <v>4</v>
      </c>
      <c r="F1632" s="6">
        <f>VLOOKUP(D1632,Products!A$2:C$101,3,FALSE)*E1632</f>
        <v>40</v>
      </c>
      <c r="G1632" t="s">
        <v>395</v>
      </c>
    </row>
    <row r="1633" spans="1:7" x14ac:dyDescent="0.25">
      <c r="A1633" s="3">
        <v>44604</v>
      </c>
      <c r="B1633" s="2" t="str">
        <f t="shared" si="25"/>
        <v>sa-12-2</v>
      </c>
      <c r="C1633" t="s">
        <v>355</v>
      </c>
      <c r="D1633" t="s">
        <v>46</v>
      </c>
      <c r="E1633">
        <v>5</v>
      </c>
      <c r="F1633" s="6">
        <f>VLOOKUP(D1633,Products!A$2:C$101,3,FALSE)*E1633</f>
        <v>150</v>
      </c>
      <c r="G1633" t="s">
        <v>408</v>
      </c>
    </row>
    <row r="1634" spans="1:7" x14ac:dyDescent="0.25">
      <c r="A1634" s="3">
        <v>44473</v>
      </c>
      <c r="B1634" s="2" t="str">
        <f t="shared" si="25"/>
        <v>sa-4-10</v>
      </c>
      <c r="C1634" t="s">
        <v>328</v>
      </c>
      <c r="D1634" t="s">
        <v>18</v>
      </c>
      <c r="E1634">
        <v>5</v>
      </c>
      <c r="F1634" s="6">
        <f>VLOOKUP(D1634,Products!A$2:C$101,3,FALSE)*E1634</f>
        <v>175</v>
      </c>
      <c r="G1634" t="s">
        <v>399</v>
      </c>
    </row>
    <row r="1635" spans="1:7" x14ac:dyDescent="0.25">
      <c r="A1635" s="3">
        <v>44489</v>
      </c>
      <c r="B1635" s="2" t="str">
        <f t="shared" si="25"/>
        <v>sa-20-10</v>
      </c>
      <c r="C1635" t="s">
        <v>321</v>
      </c>
      <c r="D1635" t="s">
        <v>79</v>
      </c>
      <c r="E1635">
        <v>3</v>
      </c>
      <c r="F1635" s="6">
        <f>VLOOKUP(D1635,Products!A$2:C$101,3,FALSE)*E1635</f>
        <v>102</v>
      </c>
      <c r="G1635" t="s">
        <v>396</v>
      </c>
    </row>
    <row r="1636" spans="1:7" x14ac:dyDescent="0.25">
      <c r="A1636" s="3">
        <v>44418</v>
      </c>
      <c r="B1636" s="2" t="str">
        <f t="shared" si="25"/>
        <v>sa-10-8</v>
      </c>
      <c r="C1636" t="s">
        <v>327</v>
      </c>
      <c r="D1636" t="s">
        <v>2</v>
      </c>
      <c r="E1636">
        <v>2</v>
      </c>
      <c r="F1636" s="6">
        <f>VLOOKUP(D1636,Products!A$2:C$101,3,FALSE)*E1636</f>
        <v>132</v>
      </c>
      <c r="G1636" t="s">
        <v>400</v>
      </c>
    </row>
    <row r="1637" spans="1:7" x14ac:dyDescent="0.25">
      <c r="A1637" s="3">
        <v>43918</v>
      </c>
      <c r="B1637" s="2" t="str">
        <f t="shared" si="25"/>
        <v>sa-28-3</v>
      </c>
      <c r="C1637" t="s">
        <v>324</v>
      </c>
      <c r="D1637" t="s">
        <v>16</v>
      </c>
      <c r="E1637">
        <v>3</v>
      </c>
      <c r="F1637" s="6">
        <f>VLOOKUP(D1637,Products!A$2:C$101,3,FALSE)*E1637</f>
        <v>90</v>
      </c>
      <c r="G1637" t="s">
        <v>407</v>
      </c>
    </row>
    <row r="1638" spans="1:7" x14ac:dyDescent="0.25">
      <c r="A1638" s="3">
        <v>44333</v>
      </c>
      <c r="B1638" s="2" t="str">
        <f t="shared" si="25"/>
        <v>sa-17-5</v>
      </c>
      <c r="C1638" t="s">
        <v>344</v>
      </c>
      <c r="D1638" t="s">
        <v>85</v>
      </c>
      <c r="E1638">
        <v>4</v>
      </c>
      <c r="F1638" s="6">
        <f>VLOOKUP(D1638,Products!A$2:C$101,3,FALSE)*E1638</f>
        <v>132</v>
      </c>
      <c r="G1638" t="s">
        <v>403</v>
      </c>
    </row>
    <row r="1639" spans="1:7" x14ac:dyDescent="0.25">
      <c r="A1639" s="3">
        <v>43839</v>
      </c>
      <c r="B1639" s="2" t="str">
        <f t="shared" si="25"/>
        <v>sa-9-1</v>
      </c>
      <c r="C1639" t="s">
        <v>334</v>
      </c>
      <c r="D1639" t="s">
        <v>19</v>
      </c>
      <c r="E1639">
        <v>2</v>
      </c>
      <c r="F1639" s="6">
        <f>VLOOKUP(D1639,Products!A$2:C$101,3,FALSE)*E1639</f>
        <v>66</v>
      </c>
      <c r="G1639" t="s">
        <v>401</v>
      </c>
    </row>
    <row r="1640" spans="1:7" x14ac:dyDescent="0.25">
      <c r="A1640" s="3">
        <v>44636</v>
      </c>
      <c r="B1640" s="2" t="str">
        <f t="shared" si="25"/>
        <v>sa-16-3</v>
      </c>
      <c r="C1640" t="s">
        <v>354</v>
      </c>
      <c r="D1640" t="s">
        <v>14</v>
      </c>
      <c r="E1640">
        <v>3</v>
      </c>
      <c r="F1640" s="6">
        <f>VLOOKUP(D1640,Products!A$2:C$101,3,FALSE)*E1640</f>
        <v>237</v>
      </c>
      <c r="G1640" t="s">
        <v>404</v>
      </c>
    </row>
    <row r="1641" spans="1:7" x14ac:dyDescent="0.25">
      <c r="A1641" s="3">
        <v>44508</v>
      </c>
      <c r="B1641" s="2" t="str">
        <f t="shared" si="25"/>
        <v>sa-8-11</v>
      </c>
      <c r="C1641" t="s">
        <v>348</v>
      </c>
      <c r="D1641" t="s">
        <v>76</v>
      </c>
      <c r="E1641">
        <v>3</v>
      </c>
      <c r="F1641" s="6">
        <f>VLOOKUP(D1641,Products!A$2:C$101,3,FALSE)*E1641</f>
        <v>102</v>
      </c>
      <c r="G1641" t="s">
        <v>399</v>
      </c>
    </row>
    <row r="1642" spans="1:7" x14ac:dyDescent="0.25">
      <c r="A1642" s="3">
        <v>44021</v>
      </c>
      <c r="B1642" s="2" t="str">
        <f t="shared" si="25"/>
        <v>sa-9-7</v>
      </c>
      <c r="C1642" t="s">
        <v>337</v>
      </c>
      <c r="D1642" t="s">
        <v>11</v>
      </c>
      <c r="E1642">
        <v>2</v>
      </c>
      <c r="F1642" s="6">
        <f>VLOOKUP(D1642,Products!A$2:C$101,3,FALSE)*E1642</f>
        <v>156</v>
      </c>
      <c r="G1642" t="s">
        <v>401</v>
      </c>
    </row>
    <row r="1643" spans="1:7" x14ac:dyDescent="0.25">
      <c r="A1643" s="3">
        <v>43840</v>
      </c>
      <c r="B1643" s="2" t="str">
        <f t="shared" si="25"/>
        <v>sa-10-1</v>
      </c>
      <c r="C1643" t="s">
        <v>344</v>
      </c>
      <c r="D1643" t="s">
        <v>88</v>
      </c>
      <c r="E1643">
        <v>5</v>
      </c>
      <c r="F1643" s="6">
        <f>VLOOKUP(D1643,Products!A$2:C$101,3,FALSE)*E1643</f>
        <v>85</v>
      </c>
      <c r="G1643" t="s">
        <v>400</v>
      </c>
    </row>
    <row r="1644" spans="1:7" x14ac:dyDescent="0.25">
      <c r="A1644" s="3">
        <v>44503</v>
      </c>
      <c r="B1644" s="2" t="str">
        <f t="shared" si="25"/>
        <v>sa-3-11</v>
      </c>
      <c r="C1644" t="s">
        <v>310</v>
      </c>
      <c r="D1644" t="s">
        <v>5</v>
      </c>
      <c r="E1644">
        <v>4</v>
      </c>
      <c r="F1644" s="6">
        <f>VLOOKUP(D1644,Products!A$2:C$101,3,FALSE)*E1644</f>
        <v>320</v>
      </c>
      <c r="G1644" t="s">
        <v>402</v>
      </c>
    </row>
    <row r="1645" spans="1:7" x14ac:dyDescent="0.25">
      <c r="A1645" s="3">
        <v>43924</v>
      </c>
      <c r="B1645" s="2" t="str">
        <f t="shared" si="25"/>
        <v>sa-3-4</v>
      </c>
      <c r="C1645" t="s">
        <v>311</v>
      </c>
      <c r="D1645" t="s">
        <v>32</v>
      </c>
      <c r="E1645">
        <v>5</v>
      </c>
      <c r="F1645" s="6">
        <f>VLOOKUP(D1645,Products!A$2:C$101,3,FALSE)*E1645</f>
        <v>170</v>
      </c>
      <c r="G1645" t="s">
        <v>397</v>
      </c>
    </row>
    <row r="1646" spans="1:7" x14ac:dyDescent="0.25">
      <c r="A1646" s="3">
        <v>44148</v>
      </c>
      <c r="B1646" s="2" t="str">
        <f t="shared" si="25"/>
        <v>sa-13-11</v>
      </c>
      <c r="C1646" t="s">
        <v>329</v>
      </c>
      <c r="D1646" t="s">
        <v>71</v>
      </c>
      <c r="E1646">
        <v>6</v>
      </c>
      <c r="F1646" s="6">
        <f>VLOOKUP(D1646,Products!A$2:C$101,3,FALSE)*E1646</f>
        <v>204</v>
      </c>
      <c r="G1646" t="s">
        <v>403</v>
      </c>
    </row>
    <row r="1647" spans="1:7" x14ac:dyDescent="0.25">
      <c r="A1647" s="3">
        <v>44223</v>
      </c>
      <c r="B1647" s="2" t="str">
        <f t="shared" si="25"/>
        <v>sa-27-1</v>
      </c>
      <c r="C1647" t="s">
        <v>319</v>
      </c>
      <c r="D1647" t="s">
        <v>46</v>
      </c>
      <c r="E1647">
        <v>6</v>
      </c>
      <c r="F1647" s="6">
        <f>VLOOKUP(D1647,Products!A$2:C$101,3,FALSE)*E1647</f>
        <v>180</v>
      </c>
      <c r="G1647" t="s">
        <v>399</v>
      </c>
    </row>
    <row r="1648" spans="1:7" x14ac:dyDescent="0.25">
      <c r="A1648" s="3">
        <v>44346</v>
      </c>
      <c r="B1648" s="2" t="str">
        <f t="shared" si="25"/>
        <v>sa-30-5</v>
      </c>
      <c r="C1648" t="s">
        <v>313</v>
      </c>
      <c r="D1648" t="s">
        <v>33</v>
      </c>
      <c r="E1648">
        <v>4</v>
      </c>
      <c r="F1648" s="6">
        <f>VLOOKUP(D1648,Products!A$2:C$101,3,FALSE)*E1648</f>
        <v>132</v>
      </c>
      <c r="G1648" t="s">
        <v>395</v>
      </c>
    </row>
    <row r="1649" spans="1:7" x14ac:dyDescent="0.25">
      <c r="A1649" s="3">
        <v>44068</v>
      </c>
      <c r="B1649" s="2" t="str">
        <f t="shared" si="25"/>
        <v>sa-25-8</v>
      </c>
      <c r="C1649" t="s">
        <v>331</v>
      </c>
      <c r="D1649" t="s">
        <v>44</v>
      </c>
      <c r="E1649">
        <v>6</v>
      </c>
      <c r="F1649" s="6">
        <f>VLOOKUP(D1649,Products!A$2:C$101,3,FALSE)*E1649</f>
        <v>186</v>
      </c>
      <c r="G1649" t="s">
        <v>396</v>
      </c>
    </row>
    <row r="1650" spans="1:7" x14ac:dyDescent="0.25">
      <c r="A1650" s="3">
        <v>44685</v>
      </c>
      <c r="B1650" s="2" t="str">
        <f t="shared" si="25"/>
        <v>sa-4-5</v>
      </c>
      <c r="C1650" t="s">
        <v>333</v>
      </c>
      <c r="D1650" t="s">
        <v>12</v>
      </c>
      <c r="E1650">
        <v>6</v>
      </c>
      <c r="F1650" s="6">
        <f>VLOOKUP(D1650,Products!A$2:C$101,3,FALSE)*E1650</f>
        <v>444</v>
      </c>
      <c r="G1650" t="s">
        <v>398</v>
      </c>
    </row>
    <row r="1651" spans="1:7" x14ac:dyDescent="0.25">
      <c r="A1651" s="3">
        <v>44191</v>
      </c>
      <c r="B1651" s="2" t="str">
        <f t="shared" si="25"/>
        <v>sa-26-12</v>
      </c>
      <c r="C1651" t="s">
        <v>331</v>
      </c>
      <c r="D1651" t="s">
        <v>40</v>
      </c>
      <c r="E1651">
        <v>2</v>
      </c>
      <c r="F1651" s="6">
        <f>VLOOKUP(D1651,Products!A$2:C$101,3,FALSE)*E1651</f>
        <v>68</v>
      </c>
      <c r="G1651" t="s">
        <v>405</v>
      </c>
    </row>
    <row r="1652" spans="1:7" x14ac:dyDescent="0.25">
      <c r="A1652" s="3">
        <v>44371</v>
      </c>
      <c r="B1652" s="2" t="str">
        <f t="shared" si="25"/>
        <v>sa-24-6</v>
      </c>
      <c r="C1652" t="s">
        <v>346</v>
      </c>
      <c r="D1652" t="s">
        <v>48</v>
      </c>
      <c r="E1652">
        <v>6</v>
      </c>
      <c r="F1652" s="6">
        <f>VLOOKUP(D1652,Products!A$2:C$101,3,FALSE)*E1652</f>
        <v>198</v>
      </c>
      <c r="G1652" t="s">
        <v>395</v>
      </c>
    </row>
    <row r="1653" spans="1:7" x14ac:dyDescent="0.25">
      <c r="A1653" s="3">
        <v>44476</v>
      </c>
      <c r="B1653" s="2" t="str">
        <f t="shared" si="25"/>
        <v>sa-7-10</v>
      </c>
      <c r="C1653" t="s">
        <v>332</v>
      </c>
      <c r="D1653" t="s">
        <v>59</v>
      </c>
      <c r="E1653">
        <v>3</v>
      </c>
      <c r="F1653" s="6">
        <f>VLOOKUP(D1653,Products!A$2:C$101,3,FALSE)*E1653</f>
        <v>105</v>
      </c>
      <c r="G1653" t="s">
        <v>406</v>
      </c>
    </row>
    <row r="1654" spans="1:7" x14ac:dyDescent="0.25">
      <c r="A1654" s="3">
        <v>43855</v>
      </c>
      <c r="B1654" s="2" t="str">
        <f t="shared" si="25"/>
        <v>sa-25-1</v>
      </c>
      <c r="C1654" t="s">
        <v>343</v>
      </c>
      <c r="D1654" t="s">
        <v>78</v>
      </c>
      <c r="E1654">
        <v>6</v>
      </c>
      <c r="F1654" s="6">
        <f>VLOOKUP(D1654,Products!A$2:C$101,3,FALSE)*E1654</f>
        <v>204</v>
      </c>
      <c r="G1654" t="s">
        <v>402</v>
      </c>
    </row>
    <row r="1655" spans="1:7" x14ac:dyDescent="0.25">
      <c r="A1655" s="3">
        <v>43839</v>
      </c>
      <c r="B1655" s="2" t="str">
        <f t="shared" si="25"/>
        <v>sa-9-1</v>
      </c>
      <c r="C1655" t="s">
        <v>352</v>
      </c>
      <c r="D1655" t="s">
        <v>34</v>
      </c>
      <c r="E1655">
        <v>2</v>
      </c>
      <c r="F1655" s="6">
        <f>VLOOKUP(D1655,Products!A$2:C$101,3,FALSE)*E1655</f>
        <v>70</v>
      </c>
      <c r="G1655" t="s">
        <v>404</v>
      </c>
    </row>
    <row r="1656" spans="1:7" x14ac:dyDescent="0.25">
      <c r="A1656" s="3">
        <v>44184</v>
      </c>
      <c r="B1656" s="2" t="str">
        <f t="shared" si="25"/>
        <v>sa-19-12</v>
      </c>
      <c r="C1656" t="s">
        <v>328</v>
      </c>
      <c r="D1656" t="s">
        <v>6</v>
      </c>
      <c r="E1656">
        <v>4</v>
      </c>
      <c r="F1656" s="6">
        <f>VLOOKUP(D1656,Products!A$2:C$101,3,FALSE)*E1656</f>
        <v>276</v>
      </c>
      <c r="G1656" t="s">
        <v>400</v>
      </c>
    </row>
    <row r="1657" spans="1:7" x14ac:dyDescent="0.25">
      <c r="A1657" s="3">
        <v>44272</v>
      </c>
      <c r="B1657" s="2" t="str">
        <f t="shared" si="25"/>
        <v>sa-17-3</v>
      </c>
      <c r="C1657" t="s">
        <v>343</v>
      </c>
      <c r="D1657" t="s">
        <v>61</v>
      </c>
      <c r="E1657">
        <v>6</v>
      </c>
      <c r="F1657" s="6">
        <f>VLOOKUP(D1657,Products!A$2:C$101,3,FALSE)*E1657</f>
        <v>186</v>
      </c>
      <c r="G1657" t="s">
        <v>401</v>
      </c>
    </row>
    <row r="1658" spans="1:7" x14ac:dyDescent="0.25">
      <c r="A1658" s="3">
        <v>44663</v>
      </c>
      <c r="B1658" s="2" t="str">
        <f t="shared" si="25"/>
        <v>sa-12-4</v>
      </c>
      <c r="C1658" t="s">
        <v>333</v>
      </c>
      <c r="D1658" t="s">
        <v>69</v>
      </c>
      <c r="E1658">
        <v>6</v>
      </c>
      <c r="F1658" s="6">
        <f>VLOOKUP(D1658,Products!A$2:C$101,3,FALSE)*E1658</f>
        <v>180</v>
      </c>
      <c r="G1658" t="s">
        <v>406</v>
      </c>
    </row>
    <row r="1659" spans="1:7" x14ac:dyDescent="0.25">
      <c r="A1659" s="3">
        <v>44702</v>
      </c>
      <c r="B1659" s="2" t="str">
        <f t="shared" si="25"/>
        <v>sa-21-5</v>
      </c>
      <c r="C1659" t="s">
        <v>345</v>
      </c>
      <c r="D1659" t="s">
        <v>39</v>
      </c>
      <c r="E1659">
        <v>4</v>
      </c>
      <c r="F1659" s="6">
        <f>VLOOKUP(D1659,Products!A$2:C$101,3,FALSE)*E1659</f>
        <v>128</v>
      </c>
      <c r="G1659" t="s">
        <v>397</v>
      </c>
    </row>
    <row r="1660" spans="1:7" x14ac:dyDescent="0.25">
      <c r="A1660" s="3">
        <v>44348</v>
      </c>
      <c r="B1660" s="2" t="str">
        <f t="shared" si="25"/>
        <v>sa-1-6</v>
      </c>
      <c r="C1660" t="s">
        <v>353</v>
      </c>
      <c r="D1660" t="s">
        <v>61</v>
      </c>
      <c r="E1660">
        <v>4</v>
      </c>
      <c r="F1660" s="6">
        <f>VLOOKUP(D1660,Products!A$2:C$101,3,FALSE)*E1660</f>
        <v>124</v>
      </c>
      <c r="G1660" t="s">
        <v>397</v>
      </c>
    </row>
    <row r="1661" spans="1:7" x14ac:dyDescent="0.25">
      <c r="A1661" s="3">
        <v>44689</v>
      </c>
      <c r="B1661" s="2" t="str">
        <f t="shared" si="25"/>
        <v>sa-8-5</v>
      </c>
      <c r="C1661" t="s">
        <v>346</v>
      </c>
      <c r="D1661" t="s">
        <v>64</v>
      </c>
      <c r="E1661">
        <v>6</v>
      </c>
      <c r="F1661" s="6">
        <f>VLOOKUP(D1661,Products!A$2:C$101,3,FALSE)*E1661</f>
        <v>210</v>
      </c>
      <c r="G1661" t="s">
        <v>400</v>
      </c>
    </row>
    <row r="1662" spans="1:7" x14ac:dyDescent="0.25">
      <c r="A1662" s="3">
        <v>44481</v>
      </c>
      <c r="B1662" s="2" t="str">
        <f t="shared" si="25"/>
        <v>sa-12-10</v>
      </c>
      <c r="C1662" t="s">
        <v>307</v>
      </c>
      <c r="D1662" t="s">
        <v>11</v>
      </c>
      <c r="E1662">
        <v>5</v>
      </c>
      <c r="F1662" s="6">
        <f>VLOOKUP(D1662,Products!A$2:C$101,3,FALSE)*E1662</f>
        <v>390</v>
      </c>
      <c r="G1662" t="s">
        <v>397</v>
      </c>
    </row>
    <row r="1663" spans="1:7" x14ac:dyDescent="0.25">
      <c r="A1663" s="3">
        <v>44490</v>
      </c>
      <c r="B1663" s="2" t="str">
        <f t="shared" si="25"/>
        <v>sa-21-10</v>
      </c>
      <c r="C1663" t="s">
        <v>350</v>
      </c>
      <c r="D1663" t="s">
        <v>42</v>
      </c>
      <c r="E1663">
        <v>4</v>
      </c>
      <c r="F1663" s="6">
        <f>VLOOKUP(D1663,Products!A$2:C$101,3,FALSE)*E1663</f>
        <v>136</v>
      </c>
      <c r="G1663" t="s">
        <v>408</v>
      </c>
    </row>
    <row r="1664" spans="1:7" x14ac:dyDescent="0.25">
      <c r="A1664" s="3">
        <v>44341</v>
      </c>
      <c r="B1664" s="2" t="str">
        <f t="shared" si="25"/>
        <v>sa-25-5</v>
      </c>
      <c r="C1664" t="s">
        <v>328</v>
      </c>
      <c r="D1664" t="s">
        <v>71</v>
      </c>
      <c r="E1664">
        <v>4</v>
      </c>
      <c r="F1664" s="6">
        <f>VLOOKUP(D1664,Products!A$2:C$101,3,FALSE)*E1664</f>
        <v>136</v>
      </c>
      <c r="G1664" t="s">
        <v>405</v>
      </c>
    </row>
    <row r="1665" spans="1:7" x14ac:dyDescent="0.25">
      <c r="A1665" s="3">
        <v>44399</v>
      </c>
      <c r="B1665" s="2" t="str">
        <f t="shared" si="25"/>
        <v>sa-22-7</v>
      </c>
      <c r="C1665" t="s">
        <v>329</v>
      </c>
      <c r="D1665" t="s">
        <v>64</v>
      </c>
      <c r="E1665">
        <v>4</v>
      </c>
      <c r="F1665" s="6">
        <f>VLOOKUP(D1665,Products!A$2:C$101,3,FALSE)*E1665</f>
        <v>140</v>
      </c>
      <c r="G1665" t="s">
        <v>407</v>
      </c>
    </row>
    <row r="1666" spans="1:7" x14ac:dyDescent="0.25">
      <c r="A1666" s="3">
        <v>44266</v>
      </c>
      <c r="B1666" s="2" t="str">
        <f t="shared" si="25"/>
        <v>sa-11-3</v>
      </c>
      <c r="C1666" t="s">
        <v>355</v>
      </c>
      <c r="D1666" t="s">
        <v>26</v>
      </c>
      <c r="E1666">
        <v>3</v>
      </c>
      <c r="F1666" s="6">
        <f>VLOOKUP(D1666,Products!A$2:C$101,3,FALSE)*E1666</f>
        <v>99</v>
      </c>
      <c r="G1666" t="s">
        <v>395</v>
      </c>
    </row>
    <row r="1667" spans="1:7" x14ac:dyDescent="0.25">
      <c r="A1667" s="3">
        <v>43853</v>
      </c>
      <c r="B1667" s="2" t="str">
        <f t="shared" ref="B1667:B1730" si="26">"sa-"&amp;DAY(A1667)&amp;"-"&amp;MONTH(A1667)</f>
        <v>sa-23-1</v>
      </c>
      <c r="C1667" t="s">
        <v>330</v>
      </c>
      <c r="D1667" t="s">
        <v>25</v>
      </c>
      <c r="E1667">
        <v>2</v>
      </c>
      <c r="F1667" s="6">
        <f>VLOOKUP(D1667,Products!A$2:C$101,3,FALSE)*E1667</f>
        <v>66</v>
      </c>
      <c r="G1667" t="s">
        <v>396</v>
      </c>
    </row>
    <row r="1668" spans="1:7" x14ac:dyDescent="0.25">
      <c r="A1668" s="3">
        <v>44441</v>
      </c>
      <c r="B1668" s="2" t="str">
        <f t="shared" si="26"/>
        <v>sa-2-9</v>
      </c>
      <c r="C1668" t="s">
        <v>315</v>
      </c>
      <c r="D1668" t="s">
        <v>82</v>
      </c>
      <c r="E1668">
        <v>2</v>
      </c>
      <c r="F1668" s="6">
        <f>VLOOKUP(D1668,Products!A$2:C$101,3,FALSE)*E1668</f>
        <v>64</v>
      </c>
      <c r="G1668" t="s">
        <v>404</v>
      </c>
    </row>
    <row r="1669" spans="1:7" x14ac:dyDescent="0.25">
      <c r="A1669" s="3">
        <v>43985</v>
      </c>
      <c r="B1669" s="2" t="str">
        <f t="shared" si="26"/>
        <v>sa-3-6</v>
      </c>
      <c r="C1669" t="s">
        <v>321</v>
      </c>
      <c r="D1669" t="s">
        <v>43</v>
      </c>
      <c r="E1669">
        <v>5</v>
      </c>
      <c r="F1669" s="6">
        <f>VLOOKUP(D1669,Products!A$2:C$101,3,FALSE)*E1669</f>
        <v>165</v>
      </c>
      <c r="G1669" t="s">
        <v>406</v>
      </c>
    </row>
    <row r="1670" spans="1:7" x14ac:dyDescent="0.25">
      <c r="A1670" s="3">
        <v>44019</v>
      </c>
      <c r="B1670" s="2" t="str">
        <f t="shared" si="26"/>
        <v>sa-7-7</v>
      </c>
      <c r="C1670" t="s">
        <v>335</v>
      </c>
      <c r="D1670" t="s">
        <v>18</v>
      </c>
      <c r="E1670">
        <v>6</v>
      </c>
      <c r="F1670" s="6">
        <f>VLOOKUP(D1670,Products!A$2:C$101,3,FALSE)*E1670</f>
        <v>210</v>
      </c>
      <c r="G1670" t="s">
        <v>401</v>
      </c>
    </row>
    <row r="1671" spans="1:7" x14ac:dyDescent="0.25">
      <c r="A1671" s="3">
        <v>44076</v>
      </c>
      <c r="B1671" s="2" t="str">
        <f t="shared" si="26"/>
        <v>sa-2-9</v>
      </c>
      <c r="C1671" t="s">
        <v>344</v>
      </c>
      <c r="D1671" t="s">
        <v>33</v>
      </c>
      <c r="E1671">
        <v>4</v>
      </c>
      <c r="F1671" s="6">
        <f>VLOOKUP(D1671,Products!A$2:C$101,3,FALSE)*E1671</f>
        <v>132</v>
      </c>
      <c r="G1671" t="s">
        <v>396</v>
      </c>
    </row>
    <row r="1672" spans="1:7" x14ac:dyDescent="0.25">
      <c r="A1672" s="3">
        <v>44215</v>
      </c>
      <c r="B1672" s="2" t="str">
        <f t="shared" si="26"/>
        <v>sa-19-1</v>
      </c>
      <c r="C1672" t="s">
        <v>344</v>
      </c>
      <c r="D1672" t="s">
        <v>49</v>
      </c>
      <c r="E1672">
        <v>4</v>
      </c>
      <c r="F1672" s="6">
        <f>VLOOKUP(D1672,Products!A$2:C$101,3,FALSE)*E1672</f>
        <v>132</v>
      </c>
      <c r="G1672" t="s">
        <v>397</v>
      </c>
    </row>
    <row r="1673" spans="1:7" x14ac:dyDescent="0.25">
      <c r="A1673" s="3">
        <v>44358</v>
      </c>
      <c r="B1673" s="2" t="str">
        <f t="shared" si="26"/>
        <v>sa-11-6</v>
      </c>
      <c r="C1673" t="s">
        <v>346</v>
      </c>
      <c r="D1673" t="s">
        <v>71</v>
      </c>
      <c r="E1673">
        <v>3</v>
      </c>
      <c r="F1673" s="6">
        <f>VLOOKUP(D1673,Products!A$2:C$101,3,FALSE)*E1673</f>
        <v>102</v>
      </c>
      <c r="G1673" t="s">
        <v>395</v>
      </c>
    </row>
    <row r="1674" spans="1:7" x14ac:dyDescent="0.25">
      <c r="A1674" s="3">
        <v>44188</v>
      </c>
      <c r="B1674" s="2" t="str">
        <f t="shared" si="26"/>
        <v>sa-23-12</v>
      </c>
      <c r="C1674" t="s">
        <v>345</v>
      </c>
      <c r="D1674" t="s">
        <v>15</v>
      </c>
      <c r="E1674">
        <v>5</v>
      </c>
      <c r="F1674" s="6">
        <f>VLOOKUP(D1674,Products!A$2:C$101,3,FALSE)*E1674</f>
        <v>175</v>
      </c>
      <c r="G1674" t="s">
        <v>405</v>
      </c>
    </row>
    <row r="1675" spans="1:7" x14ac:dyDescent="0.25">
      <c r="A1675" s="3">
        <v>44208</v>
      </c>
      <c r="B1675" s="2" t="str">
        <f t="shared" si="26"/>
        <v>sa-12-1</v>
      </c>
      <c r="C1675" t="s">
        <v>353</v>
      </c>
      <c r="D1675" t="s">
        <v>22</v>
      </c>
      <c r="E1675">
        <v>2</v>
      </c>
      <c r="F1675" s="6">
        <f>VLOOKUP(D1675,Products!A$2:C$101,3,FALSE)*E1675</f>
        <v>68</v>
      </c>
      <c r="G1675" t="s">
        <v>404</v>
      </c>
    </row>
    <row r="1676" spans="1:7" x14ac:dyDescent="0.25">
      <c r="A1676" s="3">
        <v>44403</v>
      </c>
      <c r="B1676" s="2" t="str">
        <f t="shared" si="26"/>
        <v>sa-26-7</v>
      </c>
      <c r="C1676" t="s">
        <v>325</v>
      </c>
      <c r="D1676" t="s">
        <v>4</v>
      </c>
      <c r="E1676">
        <v>5</v>
      </c>
      <c r="F1676" s="6">
        <f>VLOOKUP(D1676,Products!A$2:C$101,3,FALSE)*E1676</f>
        <v>355</v>
      </c>
      <c r="G1676" t="s">
        <v>402</v>
      </c>
    </row>
    <row r="1677" spans="1:7" x14ac:dyDescent="0.25">
      <c r="A1677" s="3">
        <v>44290</v>
      </c>
      <c r="B1677" s="2" t="str">
        <f t="shared" si="26"/>
        <v>sa-4-4</v>
      </c>
      <c r="C1677" t="s">
        <v>331</v>
      </c>
      <c r="D1677" t="s">
        <v>21</v>
      </c>
      <c r="E1677">
        <v>2</v>
      </c>
      <c r="F1677" s="6">
        <f>VLOOKUP(D1677,Products!A$2:C$101,3,FALSE)*E1677</f>
        <v>66</v>
      </c>
      <c r="G1677" t="s">
        <v>395</v>
      </c>
    </row>
    <row r="1678" spans="1:7" x14ac:dyDescent="0.25">
      <c r="A1678" s="3">
        <v>44076</v>
      </c>
      <c r="B1678" s="2" t="str">
        <f t="shared" si="26"/>
        <v>sa-2-9</v>
      </c>
      <c r="C1678" t="s">
        <v>350</v>
      </c>
      <c r="D1678" t="s">
        <v>50</v>
      </c>
      <c r="E1678">
        <v>3</v>
      </c>
      <c r="F1678" s="6">
        <f>VLOOKUP(D1678,Products!A$2:C$101,3,FALSE)*E1678</f>
        <v>96</v>
      </c>
      <c r="G1678" t="s">
        <v>401</v>
      </c>
    </row>
    <row r="1679" spans="1:7" x14ac:dyDescent="0.25">
      <c r="A1679" s="3">
        <v>44113</v>
      </c>
      <c r="B1679" s="2" t="str">
        <f t="shared" si="26"/>
        <v>sa-9-10</v>
      </c>
      <c r="C1679" t="s">
        <v>331</v>
      </c>
      <c r="D1679" t="s">
        <v>25</v>
      </c>
      <c r="E1679">
        <v>4</v>
      </c>
      <c r="F1679" s="6">
        <f>VLOOKUP(D1679,Products!A$2:C$101,3,FALSE)*E1679</f>
        <v>132</v>
      </c>
      <c r="G1679" t="s">
        <v>395</v>
      </c>
    </row>
    <row r="1680" spans="1:7" x14ac:dyDescent="0.25">
      <c r="A1680" s="3">
        <v>44429</v>
      </c>
      <c r="B1680" s="2" t="str">
        <f t="shared" si="26"/>
        <v>sa-21-8</v>
      </c>
      <c r="C1680" t="s">
        <v>345</v>
      </c>
      <c r="D1680" t="s">
        <v>45</v>
      </c>
      <c r="E1680">
        <v>2</v>
      </c>
      <c r="F1680" s="6">
        <f>VLOOKUP(D1680,Products!A$2:C$101,3,FALSE)*E1680</f>
        <v>60</v>
      </c>
      <c r="G1680" t="s">
        <v>396</v>
      </c>
    </row>
    <row r="1681" spans="1:7" x14ac:dyDescent="0.25">
      <c r="A1681" s="3">
        <v>44102</v>
      </c>
      <c r="B1681" s="2" t="str">
        <f t="shared" si="26"/>
        <v>sa-28-9</v>
      </c>
      <c r="C1681" t="s">
        <v>316</v>
      </c>
      <c r="D1681" t="s">
        <v>83</v>
      </c>
      <c r="E1681">
        <v>2</v>
      </c>
      <c r="F1681" s="6">
        <f>VLOOKUP(D1681,Products!A$2:C$101,3,FALSE)*E1681</f>
        <v>60</v>
      </c>
      <c r="G1681" t="s">
        <v>395</v>
      </c>
    </row>
    <row r="1682" spans="1:7" x14ac:dyDescent="0.25">
      <c r="A1682" s="3">
        <v>44007</v>
      </c>
      <c r="B1682" s="2" t="str">
        <f t="shared" si="26"/>
        <v>sa-25-6</v>
      </c>
      <c r="C1682" t="s">
        <v>329</v>
      </c>
      <c r="D1682" t="s">
        <v>35</v>
      </c>
      <c r="E1682">
        <v>3</v>
      </c>
      <c r="F1682" s="6">
        <f>VLOOKUP(D1682,Products!A$2:C$101,3,FALSE)*E1682</f>
        <v>90</v>
      </c>
      <c r="G1682" t="s">
        <v>399</v>
      </c>
    </row>
    <row r="1683" spans="1:7" x14ac:dyDescent="0.25">
      <c r="A1683" s="3">
        <v>44222</v>
      </c>
      <c r="B1683" s="2" t="str">
        <f t="shared" si="26"/>
        <v>sa-26-1</v>
      </c>
      <c r="C1683" t="s">
        <v>335</v>
      </c>
      <c r="D1683" t="s">
        <v>94</v>
      </c>
      <c r="E1683">
        <v>6</v>
      </c>
      <c r="F1683" s="6">
        <f>VLOOKUP(D1683,Products!A$2:C$101,3,FALSE)*E1683</f>
        <v>114</v>
      </c>
      <c r="G1683" t="s">
        <v>400</v>
      </c>
    </row>
    <row r="1684" spans="1:7" x14ac:dyDescent="0.25">
      <c r="A1684" s="3">
        <v>44334</v>
      </c>
      <c r="B1684" s="2" t="str">
        <f t="shared" si="26"/>
        <v>sa-18-5</v>
      </c>
      <c r="C1684" t="s">
        <v>311</v>
      </c>
      <c r="D1684" t="s">
        <v>41</v>
      </c>
      <c r="E1684">
        <v>4</v>
      </c>
      <c r="F1684" s="6">
        <f>VLOOKUP(D1684,Products!A$2:C$101,3,FALSE)*E1684</f>
        <v>132</v>
      </c>
      <c r="G1684" t="s">
        <v>403</v>
      </c>
    </row>
    <row r="1685" spans="1:7" x14ac:dyDescent="0.25">
      <c r="A1685" s="3">
        <v>44453</v>
      </c>
      <c r="B1685" s="2" t="str">
        <f t="shared" si="26"/>
        <v>sa-14-9</v>
      </c>
      <c r="C1685" t="s">
        <v>332</v>
      </c>
      <c r="D1685" t="s">
        <v>10</v>
      </c>
      <c r="E1685">
        <v>5</v>
      </c>
      <c r="F1685" s="6">
        <f>VLOOKUP(D1685,Products!A$2:C$101,3,FALSE)*E1685</f>
        <v>360</v>
      </c>
      <c r="G1685" t="s">
        <v>398</v>
      </c>
    </row>
    <row r="1686" spans="1:7" x14ac:dyDescent="0.25">
      <c r="A1686" s="3">
        <v>44488</v>
      </c>
      <c r="B1686" s="2" t="str">
        <f t="shared" si="26"/>
        <v>sa-19-10</v>
      </c>
      <c r="C1686" t="s">
        <v>316</v>
      </c>
      <c r="D1686" t="s">
        <v>66</v>
      </c>
      <c r="E1686">
        <v>5</v>
      </c>
      <c r="F1686" s="6">
        <f>VLOOKUP(D1686,Products!A$2:C$101,3,FALSE)*E1686</f>
        <v>150</v>
      </c>
      <c r="G1686" t="s">
        <v>407</v>
      </c>
    </row>
    <row r="1687" spans="1:7" x14ac:dyDescent="0.25">
      <c r="A1687" s="3">
        <v>44508</v>
      </c>
      <c r="B1687" s="2" t="str">
        <f t="shared" si="26"/>
        <v>sa-8-11</v>
      </c>
      <c r="C1687" t="s">
        <v>319</v>
      </c>
      <c r="D1687" t="s">
        <v>81</v>
      </c>
      <c r="E1687">
        <v>6</v>
      </c>
      <c r="F1687" s="6">
        <f>VLOOKUP(D1687,Products!A$2:C$101,3,FALSE)*E1687</f>
        <v>192</v>
      </c>
      <c r="G1687" t="s">
        <v>407</v>
      </c>
    </row>
    <row r="1688" spans="1:7" x14ac:dyDescent="0.25">
      <c r="A1688" s="3">
        <v>44647</v>
      </c>
      <c r="B1688" s="2" t="str">
        <f t="shared" si="26"/>
        <v>sa-27-3</v>
      </c>
      <c r="C1688" t="s">
        <v>313</v>
      </c>
      <c r="D1688" t="s">
        <v>87</v>
      </c>
      <c r="E1688">
        <v>3</v>
      </c>
      <c r="F1688" s="6">
        <f>VLOOKUP(D1688,Products!A$2:C$101,3,FALSE)*E1688</f>
        <v>39</v>
      </c>
      <c r="G1688" t="s">
        <v>405</v>
      </c>
    </row>
    <row r="1689" spans="1:7" x14ac:dyDescent="0.25">
      <c r="A1689" s="3">
        <v>44360</v>
      </c>
      <c r="B1689" s="2" t="str">
        <f t="shared" si="26"/>
        <v>sa-13-6</v>
      </c>
      <c r="C1689" t="s">
        <v>353</v>
      </c>
      <c r="D1689" t="s">
        <v>72</v>
      </c>
      <c r="E1689">
        <v>6</v>
      </c>
      <c r="F1689" s="6">
        <f>VLOOKUP(D1689,Products!A$2:C$101,3,FALSE)*E1689</f>
        <v>186</v>
      </c>
      <c r="G1689" t="s">
        <v>396</v>
      </c>
    </row>
    <row r="1690" spans="1:7" x14ac:dyDescent="0.25">
      <c r="A1690" s="3">
        <v>44489</v>
      </c>
      <c r="B1690" s="2" t="str">
        <f t="shared" si="26"/>
        <v>sa-20-10</v>
      </c>
      <c r="C1690" t="s">
        <v>307</v>
      </c>
      <c r="D1690" t="s">
        <v>6</v>
      </c>
      <c r="E1690">
        <v>2</v>
      </c>
      <c r="F1690" s="6">
        <f>VLOOKUP(D1690,Products!A$2:C$101,3,FALSE)*E1690</f>
        <v>138</v>
      </c>
      <c r="G1690" t="s">
        <v>397</v>
      </c>
    </row>
    <row r="1691" spans="1:7" x14ac:dyDescent="0.25">
      <c r="A1691" s="3">
        <v>43866</v>
      </c>
      <c r="B1691" s="2" t="str">
        <f t="shared" si="26"/>
        <v>sa-5-2</v>
      </c>
      <c r="C1691" t="s">
        <v>317</v>
      </c>
      <c r="D1691" t="s">
        <v>28</v>
      </c>
      <c r="E1691">
        <v>4</v>
      </c>
      <c r="F1691" s="6">
        <f>VLOOKUP(D1691,Products!A$2:C$101,3,FALSE)*E1691</f>
        <v>120</v>
      </c>
      <c r="G1691" t="s">
        <v>405</v>
      </c>
    </row>
    <row r="1692" spans="1:7" x14ac:dyDescent="0.25">
      <c r="A1692" s="3">
        <v>43910</v>
      </c>
      <c r="B1692" s="2" t="str">
        <f t="shared" si="26"/>
        <v>sa-20-3</v>
      </c>
      <c r="C1692" t="s">
        <v>351</v>
      </c>
      <c r="D1692" t="s">
        <v>91</v>
      </c>
      <c r="E1692">
        <v>2</v>
      </c>
      <c r="F1692" s="6">
        <f>VLOOKUP(D1692,Products!A$2:C$101,3,FALSE)*E1692</f>
        <v>34</v>
      </c>
      <c r="G1692" t="s">
        <v>406</v>
      </c>
    </row>
    <row r="1693" spans="1:7" x14ac:dyDescent="0.25">
      <c r="A1693" s="3">
        <v>44676</v>
      </c>
      <c r="B1693" s="2" t="str">
        <f t="shared" si="26"/>
        <v>sa-25-4</v>
      </c>
      <c r="C1693" t="s">
        <v>316</v>
      </c>
      <c r="D1693" t="s">
        <v>8</v>
      </c>
      <c r="E1693">
        <v>6</v>
      </c>
      <c r="F1693" s="6">
        <f>VLOOKUP(D1693,Products!A$2:C$101,3,FALSE)*E1693</f>
        <v>378</v>
      </c>
      <c r="G1693" t="s">
        <v>406</v>
      </c>
    </row>
    <row r="1694" spans="1:7" x14ac:dyDescent="0.25">
      <c r="A1694" s="3">
        <v>44034</v>
      </c>
      <c r="B1694" s="2" t="str">
        <f t="shared" si="26"/>
        <v>sa-22-7</v>
      </c>
      <c r="C1694" t="s">
        <v>344</v>
      </c>
      <c r="D1694" t="s">
        <v>99</v>
      </c>
      <c r="E1694">
        <v>2</v>
      </c>
      <c r="F1694" s="6">
        <f>VLOOKUP(D1694,Products!A$2:C$101,3,FALSE)*E1694</f>
        <v>30</v>
      </c>
      <c r="G1694" t="s">
        <v>395</v>
      </c>
    </row>
    <row r="1695" spans="1:7" x14ac:dyDescent="0.25">
      <c r="A1695" s="3">
        <v>44345</v>
      </c>
      <c r="B1695" s="2" t="str">
        <f t="shared" si="26"/>
        <v>sa-29-5</v>
      </c>
      <c r="C1695" t="s">
        <v>332</v>
      </c>
      <c r="D1695" t="s">
        <v>11</v>
      </c>
      <c r="E1695">
        <v>3</v>
      </c>
      <c r="F1695" s="6">
        <f>VLOOKUP(D1695,Products!A$2:C$101,3,FALSE)*E1695</f>
        <v>234</v>
      </c>
      <c r="G1695" t="s">
        <v>408</v>
      </c>
    </row>
    <row r="1696" spans="1:7" x14ac:dyDescent="0.25">
      <c r="A1696" s="3">
        <v>44475</v>
      </c>
      <c r="B1696" s="2" t="str">
        <f t="shared" si="26"/>
        <v>sa-6-10</v>
      </c>
      <c r="C1696" t="s">
        <v>311</v>
      </c>
      <c r="D1696" t="s">
        <v>19</v>
      </c>
      <c r="E1696">
        <v>6</v>
      </c>
      <c r="F1696" s="6">
        <f>VLOOKUP(D1696,Products!A$2:C$101,3,FALSE)*E1696</f>
        <v>198</v>
      </c>
      <c r="G1696" t="s">
        <v>398</v>
      </c>
    </row>
    <row r="1697" spans="1:7" x14ac:dyDescent="0.25">
      <c r="A1697" s="3">
        <v>44259</v>
      </c>
      <c r="B1697" s="2" t="str">
        <f t="shared" si="26"/>
        <v>sa-4-3</v>
      </c>
      <c r="C1697" t="s">
        <v>334</v>
      </c>
      <c r="D1697" t="s">
        <v>75</v>
      </c>
      <c r="E1697">
        <v>3</v>
      </c>
      <c r="F1697" s="6">
        <f>VLOOKUP(D1697,Products!A$2:C$101,3,FALSE)*E1697</f>
        <v>102</v>
      </c>
      <c r="G1697" t="s">
        <v>398</v>
      </c>
    </row>
    <row r="1698" spans="1:7" x14ac:dyDescent="0.25">
      <c r="A1698" s="3">
        <v>43930</v>
      </c>
      <c r="B1698" s="2" t="str">
        <f t="shared" si="26"/>
        <v>sa-9-4</v>
      </c>
      <c r="C1698" t="s">
        <v>347</v>
      </c>
      <c r="D1698" t="s">
        <v>81</v>
      </c>
      <c r="E1698">
        <v>5</v>
      </c>
      <c r="F1698" s="6">
        <f>VLOOKUP(D1698,Products!A$2:C$101,3,FALSE)*E1698</f>
        <v>160</v>
      </c>
      <c r="G1698" t="s">
        <v>405</v>
      </c>
    </row>
    <row r="1699" spans="1:7" x14ac:dyDescent="0.25">
      <c r="A1699" s="3">
        <v>44168</v>
      </c>
      <c r="B1699" s="2" t="str">
        <f t="shared" si="26"/>
        <v>sa-3-12</v>
      </c>
      <c r="C1699" t="s">
        <v>317</v>
      </c>
      <c r="D1699" t="s">
        <v>3</v>
      </c>
      <c r="E1699">
        <v>2</v>
      </c>
      <c r="F1699" s="6">
        <f>VLOOKUP(D1699,Products!A$2:C$101,3,FALSE)*E1699</f>
        <v>148</v>
      </c>
      <c r="G1699" t="s">
        <v>401</v>
      </c>
    </row>
    <row r="1700" spans="1:7" x14ac:dyDescent="0.25">
      <c r="A1700" s="3">
        <v>44414</v>
      </c>
      <c r="B1700" s="2" t="str">
        <f t="shared" si="26"/>
        <v>sa-6-8</v>
      </c>
      <c r="C1700" t="s">
        <v>335</v>
      </c>
      <c r="D1700" t="s">
        <v>95</v>
      </c>
      <c r="E1700">
        <v>5</v>
      </c>
      <c r="F1700" s="6">
        <f>VLOOKUP(D1700,Products!A$2:C$101,3,FALSE)*E1700</f>
        <v>60</v>
      </c>
      <c r="G1700" t="s">
        <v>407</v>
      </c>
    </row>
    <row r="1701" spans="1:7" x14ac:dyDescent="0.25">
      <c r="A1701" s="3">
        <v>44607</v>
      </c>
      <c r="B1701" s="2" t="str">
        <f t="shared" si="26"/>
        <v>sa-15-2</v>
      </c>
      <c r="C1701" t="s">
        <v>321</v>
      </c>
      <c r="D1701" t="s">
        <v>11</v>
      </c>
      <c r="E1701">
        <v>4</v>
      </c>
      <c r="F1701" s="6">
        <f>VLOOKUP(D1701,Products!A$2:C$101,3,FALSE)*E1701</f>
        <v>312</v>
      </c>
      <c r="G1701" t="s">
        <v>405</v>
      </c>
    </row>
    <row r="1702" spans="1:7" x14ac:dyDescent="0.25">
      <c r="A1702" s="3">
        <v>44034</v>
      </c>
      <c r="B1702" s="2" t="str">
        <f t="shared" si="26"/>
        <v>sa-22-7</v>
      </c>
      <c r="C1702" t="s">
        <v>325</v>
      </c>
      <c r="D1702" t="s">
        <v>57</v>
      </c>
      <c r="E1702">
        <v>6</v>
      </c>
      <c r="F1702" s="6">
        <f>VLOOKUP(D1702,Products!A$2:C$101,3,FALSE)*E1702</f>
        <v>210</v>
      </c>
      <c r="G1702" t="s">
        <v>401</v>
      </c>
    </row>
    <row r="1703" spans="1:7" x14ac:dyDescent="0.25">
      <c r="A1703" s="3">
        <v>44247</v>
      </c>
      <c r="B1703" s="2" t="str">
        <f t="shared" si="26"/>
        <v>sa-20-2</v>
      </c>
      <c r="C1703" t="s">
        <v>335</v>
      </c>
      <c r="D1703" t="s">
        <v>89</v>
      </c>
      <c r="E1703">
        <v>3</v>
      </c>
      <c r="F1703" s="6">
        <f>VLOOKUP(D1703,Products!A$2:C$101,3,FALSE)*E1703</f>
        <v>60</v>
      </c>
      <c r="G1703" t="s">
        <v>400</v>
      </c>
    </row>
    <row r="1704" spans="1:7" x14ac:dyDescent="0.25">
      <c r="A1704" s="3">
        <v>43873</v>
      </c>
      <c r="B1704" s="2" t="str">
        <f t="shared" si="26"/>
        <v>sa-12-2</v>
      </c>
      <c r="C1704" t="s">
        <v>340</v>
      </c>
      <c r="D1704" t="s">
        <v>46</v>
      </c>
      <c r="E1704">
        <v>5</v>
      </c>
      <c r="F1704" s="6">
        <f>VLOOKUP(D1704,Products!A$2:C$101,3,FALSE)*E1704</f>
        <v>150</v>
      </c>
      <c r="G1704" t="s">
        <v>406</v>
      </c>
    </row>
    <row r="1705" spans="1:7" x14ac:dyDescent="0.25">
      <c r="A1705" s="3">
        <v>44507</v>
      </c>
      <c r="B1705" s="2" t="str">
        <f t="shared" si="26"/>
        <v>sa-7-11</v>
      </c>
      <c r="C1705" t="s">
        <v>319</v>
      </c>
      <c r="D1705" t="s">
        <v>37</v>
      </c>
      <c r="E1705">
        <v>6</v>
      </c>
      <c r="F1705" s="6">
        <f>VLOOKUP(D1705,Products!A$2:C$101,3,FALSE)*E1705</f>
        <v>198</v>
      </c>
      <c r="G1705" t="s">
        <v>402</v>
      </c>
    </row>
    <row r="1706" spans="1:7" x14ac:dyDescent="0.25">
      <c r="A1706" s="3">
        <v>44535</v>
      </c>
      <c r="B1706" s="2" t="str">
        <f t="shared" si="26"/>
        <v>sa-5-12</v>
      </c>
      <c r="C1706" t="s">
        <v>340</v>
      </c>
      <c r="D1706" t="s">
        <v>93</v>
      </c>
      <c r="E1706">
        <v>4</v>
      </c>
      <c r="F1706" s="6">
        <f>VLOOKUP(D1706,Products!A$2:C$101,3,FALSE)*E1706</f>
        <v>68</v>
      </c>
      <c r="G1706" t="s">
        <v>406</v>
      </c>
    </row>
    <row r="1707" spans="1:7" x14ac:dyDescent="0.25">
      <c r="A1707" s="3">
        <v>44592</v>
      </c>
      <c r="B1707" s="2" t="str">
        <f t="shared" si="26"/>
        <v>sa-31-1</v>
      </c>
      <c r="C1707" t="s">
        <v>329</v>
      </c>
      <c r="D1707" t="s">
        <v>72</v>
      </c>
      <c r="E1707">
        <v>4</v>
      </c>
      <c r="F1707" s="6">
        <f>VLOOKUP(D1707,Products!A$2:C$101,3,FALSE)*E1707</f>
        <v>124</v>
      </c>
      <c r="G1707" t="s">
        <v>397</v>
      </c>
    </row>
    <row r="1708" spans="1:7" x14ac:dyDescent="0.25">
      <c r="A1708" s="3">
        <v>44110</v>
      </c>
      <c r="B1708" s="2" t="str">
        <f t="shared" si="26"/>
        <v>sa-6-10</v>
      </c>
      <c r="C1708" t="s">
        <v>350</v>
      </c>
      <c r="D1708" t="s">
        <v>66</v>
      </c>
      <c r="E1708">
        <v>4</v>
      </c>
      <c r="F1708" s="6">
        <f>VLOOKUP(D1708,Products!A$2:C$101,3,FALSE)*E1708</f>
        <v>120</v>
      </c>
      <c r="G1708" t="s">
        <v>397</v>
      </c>
    </row>
    <row r="1709" spans="1:7" x14ac:dyDescent="0.25">
      <c r="A1709" s="3">
        <v>44485</v>
      </c>
      <c r="B1709" s="2" t="str">
        <f t="shared" si="26"/>
        <v>sa-16-10</v>
      </c>
      <c r="C1709" t="s">
        <v>343</v>
      </c>
      <c r="D1709" t="s">
        <v>30</v>
      </c>
      <c r="E1709">
        <v>5</v>
      </c>
      <c r="F1709" s="6">
        <f>VLOOKUP(D1709,Products!A$2:C$101,3,FALSE)*E1709</f>
        <v>175</v>
      </c>
      <c r="G1709" t="s">
        <v>403</v>
      </c>
    </row>
    <row r="1710" spans="1:7" x14ac:dyDescent="0.25">
      <c r="A1710" s="3">
        <v>44309</v>
      </c>
      <c r="B1710" s="2" t="str">
        <f t="shared" si="26"/>
        <v>sa-23-4</v>
      </c>
      <c r="C1710" t="s">
        <v>354</v>
      </c>
      <c r="D1710" t="s">
        <v>58</v>
      </c>
      <c r="E1710">
        <v>6</v>
      </c>
      <c r="F1710" s="6">
        <f>VLOOKUP(D1710,Products!A$2:C$101,3,FALSE)*E1710</f>
        <v>210</v>
      </c>
      <c r="G1710" t="s">
        <v>395</v>
      </c>
    </row>
    <row r="1711" spans="1:7" x14ac:dyDescent="0.25">
      <c r="A1711" s="3">
        <v>44252</v>
      </c>
      <c r="B1711" s="2" t="str">
        <f t="shared" si="26"/>
        <v>sa-25-2</v>
      </c>
      <c r="C1711" t="s">
        <v>320</v>
      </c>
      <c r="D1711" t="s">
        <v>41</v>
      </c>
      <c r="E1711">
        <v>6</v>
      </c>
      <c r="F1711" s="6">
        <f>VLOOKUP(D1711,Products!A$2:C$101,3,FALSE)*E1711</f>
        <v>198</v>
      </c>
      <c r="G1711" t="s">
        <v>396</v>
      </c>
    </row>
    <row r="1712" spans="1:7" x14ac:dyDescent="0.25">
      <c r="A1712" s="3">
        <v>43998</v>
      </c>
      <c r="B1712" s="2" t="str">
        <f t="shared" si="26"/>
        <v>sa-16-6</v>
      </c>
      <c r="C1712" t="s">
        <v>314</v>
      </c>
      <c r="D1712" t="s">
        <v>29</v>
      </c>
      <c r="E1712">
        <v>5</v>
      </c>
      <c r="F1712" s="6">
        <f>VLOOKUP(D1712,Products!A$2:C$101,3,FALSE)*E1712</f>
        <v>155</v>
      </c>
      <c r="G1712" t="s">
        <v>408</v>
      </c>
    </row>
    <row r="1713" spans="1:7" x14ac:dyDescent="0.25">
      <c r="A1713" s="3">
        <v>44567</v>
      </c>
      <c r="B1713" s="2" t="str">
        <f t="shared" si="26"/>
        <v>sa-6-1</v>
      </c>
      <c r="C1713" t="s">
        <v>312</v>
      </c>
      <c r="D1713" t="s">
        <v>2</v>
      </c>
      <c r="E1713">
        <v>2</v>
      </c>
      <c r="F1713" s="6">
        <f>VLOOKUP(D1713,Products!A$2:C$101,3,FALSE)*E1713</f>
        <v>132</v>
      </c>
      <c r="G1713" t="s">
        <v>407</v>
      </c>
    </row>
    <row r="1714" spans="1:7" x14ac:dyDescent="0.25">
      <c r="A1714" s="3">
        <v>44111</v>
      </c>
      <c r="B1714" s="2" t="str">
        <f t="shared" si="26"/>
        <v>sa-7-10</v>
      </c>
      <c r="C1714" t="s">
        <v>347</v>
      </c>
      <c r="D1714" t="s">
        <v>25</v>
      </c>
      <c r="E1714">
        <v>5</v>
      </c>
      <c r="F1714" s="6">
        <f>VLOOKUP(D1714,Products!A$2:C$101,3,FALSE)*E1714</f>
        <v>165</v>
      </c>
      <c r="G1714" t="s">
        <v>395</v>
      </c>
    </row>
    <row r="1715" spans="1:7" x14ac:dyDescent="0.25">
      <c r="A1715" s="3">
        <v>43989</v>
      </c>
      <c r="B1715" s="2" t="str">
        <f t="shared" si="26"/>
        <v>sa-7-6</v>
      </c>
      <c r="C1715" t="s">
        <v>325</v>
      </c>
      <c r="D1715" t="s">
        <v>61</v>
      </c>
      <c r="E1715">
        <v>6</v>
      </c>
      <c r="F1715" s="6">
        <f>VLOOKUP(D1715,Products!A$2:C$101,3,FALSE)*E1715</f>
        <v>186</v>
      </c>
      <c r="G1715" t="s">
        <v>395</v>
      </c>
    </row>
    <row r="1716" spans="1:7" x14ac:dyDescent="0.25">
      <c r="A1716" s="3">
        <v>44431</v>
      </c>
      <c r="B1716" s="2" t="str">
        <f t="shared" si="26"/>
        <v>sa-23-8</v>
      </c>
      <c r="C1716" t="s">
        <v>327</v>
      </c>
      <c r="D1716" t="s">
        <v>69</v>
      </c>
      <c r="E1716">
        <v>2</v>
      </c>
      <c r="F1716" s="6">
        <f>VLOOKUP(D1716,Products!A$2:C$101,3,FALSE)*E1716</f>
        <v>60</v>
      </c>
      <c r="G1716" t="s">
        <v>401</v>
      </c>
    </row>
    <row r="1717" spans="1:7" x14ac:dyDescent="0.25">
      <c r="A1717" s="3">
        <v>44106</v>
      </c>
      <c r="B1717" s="2" t="str">
        <f t="shared" si="26"/>
        <v>sa-2-10</v>
      </c>
      <c r="C1717" t="s">
        <v>333</v>
      </c>
      <c r="D1717" t="s">
        <v>22</v>
      </c>
      <c r="E1717">
        <v>4</v>
      </c>
      <c r="F1717" s="6">
        <f>VLOOKUP(D1717,Products!A$2:C$101,3,FALSE)*E1717</f>
        <v>136</v>
      </c>
      <c r="G1717" t="s">
        <v>407</v>
      </c>
    </row>
    <row r="1718" spans="1:7" x14ac:dyDescent="0.25">
      <c r="A1718" s="3">
        <v>44659</v>
      </c>
      <c r="B1718" s="2" t="str">
        <f t="shared" si="26"/>
        <v>sa-8-4</v>
      </c>
      <c r="C1718" t="s">
        <v>353</v>
      </c>
      <c r="D1718" t="s">
        <v>90</v>
      </c>
      <c r="E1718">
        <v>3</v>
      </c>
      <c r="F1718" s="6">
        <f>VLOOKUP(D1718,Products!A$2:C$101,3,FALSE)*E1718</f>
        <v>30</v>
      </c>
      <c r="G1718" t="s">
        <v>398</v>
      </c>
    </row>
    <row r="1719" spans="1:7" x14ac:dyDescent="0.25">
      <c r="A1719" s="3">
        <v>44039</v>
      </c>
      <c r="B1719" s="2" t="str">
        <f t="shared" si="26"/>
        <v>sa-27-7</v>
      </c>
      <c r="C1719" t="s">
        <v>317</v>
      </c>
      <c r="D1719" t="s">
        <v>11</v>
      </c>
      <c r="E1719">
        <v>6</v>
      </c>
      <c r="F1719" s="6">
        <f>VLOOKUP(D1719,Products!A$2:C$101,3,FALSE)*E1719</f>
        <v>468</v>
      </c>
      <c r="G1719" t="s">
        <v>405</v>
      </c>
    </row>
    <row r="1720" spans="1:7" x14ac:dyDescent="0.25">
      <c r="A1720" s="3">
        <v>44434</v>
      </c>
      <c r="B1720" s="2" t="str">
        <f t="shared" si="26"/>
        <v>sa-26-8</v>
      </c>
      <c r="C1720" t="s">
        <v>319</v>
      </c>
      <c r="D1720" t="s">
        <v>9</v>
      </c>
      <c r="E1720">
        <v>2</v>
      </c>
      <c r="F1720" s="6">
        <f>VLOOKUP(D1720,Products!A$2:C$101,3,FALSE)*E1720</f>
        <v>160</v>
      </c>
      <c r="G1720" t="s">
        <v>403</v>
      </c>
    </row>
    <row r="1721" spans="1:7" x14ac:dyDescent="0.25">
      <c r="A1721" s="3">
        <v>44371</v>
      </c>
      <c r="B1721" s="2" t="str">
        <f t="shared" si="26"/>
        <v>sa-24-6</v>
      </c>
      <c r="C1721" t="s">
        <v>342</v>
      </c>
      <c r="D1721" t="s">
        <v>18</v>
      </c>
      <c r="E1721">
        <v>6</v>
      </c>
      <c r="F1721" s="6">
        <f>VLOOKUP(D1721,Products!A$2:C$101,3,FALSE)*E1721</f>
        <v>210</v>
      </c>
      <c r="G1721" t="s">
        <v>405</v>
      </c>
    </row>
    <row r="1722" spans="1:7" x14ac:dyDescent="0.25">
      <c r="A1722" s="3">
        <v>44331</v>
      </c>
      <c r="B1722" s="2" t="str">
        <f t="shared" si="26"/>
        <v>sa-15-5</v>
      </c>
      <c r="C1722" t="s">
        <v>337</v>
      </c>
      <c r="D1722" t="s">
        <v>76</v>
      </c>
      <c r="E1722">
        <v>5</v>
      </c>
      <c r="F1722" s="6">
        <f>VLOOKUP(D1722,Products!A$2:C$101,3,FALSE)*E1722</f>
        <v>170</v>
      </c>
      <c r="G1722" t="s">
        <v>408</v>
      </c>
    </row>
    <row r="1723" spans="1:7" x14ac:dyDescent="0.25">
      <c r="A1723" s="3">
        <v>44485</v>
      </c>
      <c r="B1723" s="2" t="str">
        <f t="shared" si="26"/>
        <v>sa-16-10</v>
      </c>
      <c r="C1723" t="s">
        <v>335</v>
      </c>
      <c r="D1723" t="s">
        <v>31</v>
      </c>
      <c r="E1723">
        <v>6</v>
      </c>
      <c r="F1723" s="6">
        <f>VLOOKUP(D1723,Products!A$2:C$101,3,FALSE)*E1723</f>
        <v>192</v>
      </c>
      <c r="G1723" t="s">
        <v>405</v>
      </c>
    </row>
    <row r="1724" spans="1:7" x14ac:dyDescent="0.25">
      <c r="A1724" s="3">
        <v>43842</v>
      </c>
      <c r="B1724" s="2" t="str">
        <f t="shared" si="26"/>
        <v>sa-12-1</v>
      </c>
      <c r="C1724" t="s">
        <v>339</v>
      </c>
      <c r="D1724" t="s">
        <v>86</v>
      </c>
      <c r="E1724">
        <v>5</v>
      </c>
      <c r="F1724" s="6">
        <f>VLOOKUP(D1724,Products!A$2:C$101,3,FALSE)*E1724</f>
        <v>170</v>
      </c>
      <c r="G1724" t="s">
        <v>402</v>
      </c>
    </row>
    <row r="1725" spans="1:7" x14ac:dyDescent="0.25">
      <c r="A1725" s="3">
        <v>44657</v>
      </c>
      <c r="B1725" s="2" t="str">
        <f t="shared" si="26"/>
        <v>sa-6-4</v>
      </c>
      <c r="C1725" t="s">
        <v>354</v>
      </c>
      <c r="D1725" t="s">
        <v>37</v>
      </c>
      <c r="E1725">
        <v>6</v>
      </c>
      <c r="F1725" s="6">
        <f>VLOOKUP(D1725,Products!A$2:C$101,3,FALSE)*E1725</f>
        <v>198</v>
      </c>
      <c r="G1725" t="s">
        <v>396</v>
      </c>
    </row>
    <row r="1726" spans="1:7" x14ac:dyDescent="0.25">
      <c r="A1726" s="3">
        <v>43866</v>
      </c>
      <c r="B1726" s="2" t="str">
        <f t="shared" si="26"/>
        <v>sa-5-2</v>
      </c>
      <c r="C1726" t="s">
        <v>333</v>
      </c>
      <c r="D1726" t="s">
        <v>62</v>
      </c>
      <c r="E1726">
        <v>5</v>
      </c>
      <c r="F1726" s="6">
        <f>VLOOKUP(D1726,Products!A$2:C$101,3,FALSE)*E1726</f>
        <v>160</v>
      </c>
      <c r="G1726" t="s">
        <v>407</v>
      </c>
    </row>
    <row r="1727" spans="1:7" x14ac:dyDescent="0.25">
      <c r="A1727" s="3">
        <v>44456</v>
      </c>
      <c r="B1727" s="2" t="str">
        <f t="shared" si="26"/>
        <v>sa-17-9</v>
      </c>
      <c r="C1727" t="s">
        <v>321</v>
      </c>
      <c r="D1727" t="s">
        <v>96</v>
      </c>
      <c r="E1727">
        <v>6</v>
      </c>
      <c r="F1727" s="6">
        <f>VLOOKUP(D1727,Products!A$2:C$101,3,FALSE)*E1727</f>
        <v>60</v>
      </c>
      <c r="G1727" t="s">
        <v>403</v>
      </c>
    </row>
    <row r="1728" spans="1:7" x14ac:dyDescent="0.25">
      <c r="A1728" s="3">
        <v>44109</v>
      </c>
      <c r="B1728" s="2" t="str">
        <f t="shared" si="26"/>
        <v>sa-5-10</v>
      </c>
      <c r="C1728" t="s">
        <v>327</v>
      </c>
      <c r="D1728" t="s">
        <v>45</v>
      </c>
      <c r="E1728">
        <v>3</v>
      </c>
      <c r="F1728" s="6">
        <f>VLOOKUP(D1728,Products!A$2:C$101,3,FALSE)*E1728</f>
        <v>90</v>
      </c>
      <c r="G1728" t="s">
        <v>404</v>
      </c>
    </row>
    <row r="1729" spans="1:7" x14ac:dyDescent="0.25">
      <c r="A1729" s="3">
        <v>44669</v>
      </c>
      <c r="B1729" s="2" t="str">
        <f t="shared" si="26"/>
        <v>sa-18-4</v>
      </c>
      <c r="C1729" t="s">
        <v>320</v>
      </c>
      <c r="D1729" t="s">
        <v>67</v>
      </c>
      <c r="E1729">
        <v>5</v>
      </c>
      <c r="F1729" s="6">
        <f>VLOOKUP(D1729,Products!A$2:C$101,3,FALSE)*E1729</f>
        <v>160</v>
      </c>
      <c r="G1729" t="s">
        <v>396</v>
      </c>
    </row>
    <row r="1730" spans="1:7" x14ac:dyDescent="0.25">
      <c r="A1730" s="3">
        <v>44682</v>
      </c>
      <c r="B1730" s="2" t="str">
        <f t="shared" si="26"/>
        <v>sa-1-5</v>
      </c>
      <c r="C1730" t="s">
        <v>320</v>
      </c>
      <c r="D1730" t="s">
        <v>75</v>
      </c>
      <c r="E1730">
        <v>6</v>
      </c>
      <c r="F1730" s="6">
        <f>VLOOKUP(D1730,Products!A$2:C$101,3,FALSE)*E1730</f>
        <v>204</v>
      </c>
      <c r="G1730" t="s">
        <v>395</v>
      </c>
    </row>
    <row r="1731" spans="1:7" x14ac:dyDescent="0.25">
      <c r="A1731" s="3">
        <v>44201</v>
      </c>
      <c r="B1731" s="2" t="str">
        <f t="shared" ref="B1731:B1794" si="27">"sa-"&amp;DAY(A1731)&amp;"-"&amp;MONTH(A1731)</f>
        <v>sa-5-1</v>
      </c>
      <c r="C1731" t="s">
        <v>313</v>
      </c>
      <c r="D1731" t="s">
        <v>78</v>
      </c>
      <c r="E1731">
        <v>3</v>
      </c>
      <c r="F1731" s="6">
        <f>VLOOKUP(D1731,Products!A$2:C$101,3,FALSE)*E1731</f>
        <v>102</v>
      </c>
      <c r="G1731" t="s">
        <v>396</v>
      </c>
    </row>
    <row r="1732" spans="1:7" x14ac:dyDescent="0.25">
      <c r="A1732" s="3">
        <v>43920</v>
      </c>
      <c r="B1732" s="2" t="str">
        <f t="shared" si="27"/>
        <v>sa-30-3</v>
      </c>
      <c r="C1732" t="s">
        <v>307</v>
      </c>
      <c r="D1732" t="s">
        <v>25</v>
      </c>
      <c r="E1732">
        <v>5</v>
      </c>
      <c r="F1732" s="6">
        <f>VLOOKUP(D1732,Products!A$2:C$101,3,FALSE)*E1732</f>
        <v>165</v>
      </c>
      <c r="G1732" t="s">
        <v>398</v>
      </c>
    </row>
    <row r="1733" spans="1:7" x14ac:dyDescent="0.25">
      <c r="A1733" s="3">
        <v>44197</v>
      </c>
      <c r="B1733" s="2" t="str">
        <f t="shared" si="27"/>
        <v>sa-1-1</v>
      </c>
      <c r="C1733" t="s">
        <v>323</v>
      </c>
      <c r="D1733" t="s">
        <v>68</v>
      </c>
      <c r="E1733">
        <v>3</v>
      </c>
      <c r="F1733" s="6">
        <f>VLOOKUP(D1733,Products!A$2:C$101,3,FALSE)*E1733</f>
        <v>96</v>
      </c>
      <c r="G1733" t="s">
        <v>408</v>
      </c>
    </row>
    <row r="1734" spans="1:7" x14ac:dyDescent="0.25">
      <c r="A1734" s="3">
        <v>44094</v>
      </c>
      <c r="B1734" s="2" t="str">
        <f t="shared" si="27"/>
        <v>sa-20-9</v>
      </c>
      <c r="C1734" t="s">
        <v>322</v>
      </c>
      <c r="D1734" t="s">
        <v>55</v>
      </c>
      <c r="E1734">
        <v>2</v>
      </c>
      <c r="F1734" s="6">
        <f>VLOOKUP(D1734,Products!A$2:C$101,3,FALSE)*E1734</f>
        <v>64</v>
      </c>
      <c r="G1734" t="s">
        <v>406</v>
      </c>
    </row>
    <row r="1735" spans="1:7" x14ac:dyDescent="0.25">
      <c r="A1735" s="3">
        <v>44501</v>
      </c>
      <c r="B1735" s="2" t="str">
        <f t="shared" si="27"/>
        <v>sa-1-11</v>
      </c>
      <c r="C1735" t="s">
        <v>327</v>
      </c>
      <c r="D1735" t="s">
        <v>3</v>
      </c>
      <c r="E1735">
        <v>2</v>
      </c>
      <c r="F1735" s="6">
        <f>VLOOKUP(D1735,Products!A$2:C$101,3,FALSE)*E1735</f>
        <v>148</v>
      </c>
      <c r="G1735" t="s">
        <v>395</v>
      </c>
    </row>
    <row r="1736" spans="1:7" x14ac:dyDescent="0.25">
      <c r="A1736" s="3">
        <v>44226</v>
      </c>
      <c r="B1736" s="2" t="str">
        <f t="shared" si="27"/>
        <v>sa-30-1</v>
      </c>
      <c r="C1736" t="s">
        <v>355</v>
      </c>
      <c r="D1736" t="s">
        <v>54</v>
      </c>
      <c r="E1736">
        <v>5</v>
      </c>
      <c r="F1736" s="6">
        <f>VLOOKUP(D1736,Products!A$2:C$101,3,FALSE)*E1736</f>
        <v>175</v>
      </c>
      <c r="G1736" t="s">
        <v>408</v>
      </c>
    </row>
    <row r="1737" spans="1:7" x14ac:dyDescent="0.25">
      <c r="A1737" s="3">
        <v>44730</v>
      </c>
      <c r="B1737" s="2" t="str">
        <f t="shared" si="27"/>
        <v>sa-18-6</v>
      </c>
      <c r="C1737" t="s">
        <v>324</v>
      </c>
      <c r="D1737" t="s">
        <v>53</v>
      </c>
      <c r="E1737">
        <v>3</v>
      </c>
      <c r="F1737" s="6">
        <f>VLOOKUP(D1737,Products!A$2:C$101,3,FALSE)*E1737</f>
        <v>96</v>
      </c>
      <c r="G1737" t="s">
        <v>395</v>
      </c>
    </row>
    <row r="1738" spans="1:7" x14ac:dyDescent="0.25">
      <c r="A1738" s="3">
        <v>44706</v>
      </c>
      <c r="B1738" s="2" t="str">
        <f t="shared" si="27"/>
        <v>sa-25-5</v>
      </c>
      <c r="C1738" t="s">
        <v>349</v>
      </c>
      <c r="D1738" t="s">
        <v>3</v>
      </c>
      <c r="E1738">
        <v>5</v>
      </c>
      <c r="F1738" s="6">
        <f>VLOOKUP(D1738,Products!A$2:C$101,3,FALSE)*E1738</f>
        <v>370</v>
      </c>
      <c r="G1738" t="s">
        <v>402</v>
      </c>
    </row>
    <row r="1739" spans="1:7" x14ac:dyDescent="0.25">
      <c r="A1739" s="3">
        <v>44281</v>
      </c>
      <c r="B1739" s="2" t="str">
        <f t="shared" si="27"/>
        <v>sa-26-3</v>
      </c>
      <c r="C1739" t="s">
        <v>311</v>
      </c>
      <c r="D1739" t="s">
        <v>88</v>
      </c>
      <c r="E1739">
        <v>4</v>
      </c>
      <c r="F1739" s="6">
        <f>VLOOKUP(D1739,Products!A$2:C$101,3,FALSE)*E1739</f>
        <v>68</v>
      </c>
      <c r="G1739" t="s">
        <v>405</v>
      </c>
    </row>
    <row r="1740" spans="1:7" x14ac:dyDescent="0.25">
      <c r="A1740" s="3">
        <v>44004</v>
      </c>
      <c r="B1740" s="2" t="str">
        <f t="shared" si="27"/>
        <v>sa-22-6</v>
      </c>
      <c r="C1740" t="s">
        <v>313</v>
      </c>
      <c r="D1740" t="s">
        <v>61</v>
      </c>
      <c r="E1740">
        <v>5</v>
      </c>
      <c r="F1740" s="6">
        <f>VLOOKUP(D1740,Products!A$2:C$101,3,FALSE)*E1740</f>
        <v>155</v>
      </c>
      <c r="G1740" t="s">
        <v>408</v>
      </c>
    </row>
    <row r="1741" spans="1:7" x14ac:dyDescent="0.25">
      <c r="A1741" s="3">
        <v>43923</v>
      </c>
      <c r="B1741" s="2" t="str">
        <f t="shared" si="27"/>
        <v>sa-2-4</v>
      </c>
      <c r="C1741" t="s">
        <v>351</v>
      </c>
      <c r="D1741" t="s">
        <v>31</v>
      </c>
      <c r="E1741">
        <v>2</v>
      </c>
      <c r="F1741" s="6">
        <f>VLOOKUP(D1741,Products!A$2:C$101,3,FALSE)*E1741</f>
        <v>64</v>
      </c>
      <c r="G1741" t="s">
        <v>396</v>
      </c>
    </row>
    <row r="1742" spans="1:7" x14ac:dyDescent="0.25">
      <c r="A1742" s="3">
        <v>44293</v>
      </c>
      <c r="B1742" s="2" t="str">
        <f t="shared" si="27"/>
        <v>sa-7-4</v>
      </c>
      <c r="C1742" t="s">
        <v>321</v>
      </c>
      <c r="D1742" t="s">
        <v>95</v>
      </c>
      <c r="E1742">
        <v>6</v>
      </c>
      <c r="F1742" s="6">
        <f>VLOOKUP(D1742,Products!A$2:C$101,3,FALSE)*E1742</f>
        <v>72</v>
      </c>
      <c r="G1742" t="s">
        <v>401</v>
      </c>
    </row>
    <row r="1743" spans="1:7" x14ac:dyDescent="0.25">
      <c r="A1743" s="3">
        <v>43979</v>
      </c>
      <c r="B1743" s="2" t="str">
        <f t="shared" si="27"/>
        <v>sa-28-5</v>
      </c>
      <c r="C1743" t="s">
        <v>311</v>
      </c>
      <c r="D1743" t="s">
        <v>13</v>
      </c>
      <c r="E1743">
        <v>6</v>
      </c>
      <c r="F1743" s="6">
        <f>VLOOKUP(D1743,Products!A$2:C$101,3,FALSE)*E1743</f>
        <v>426</v>
      </c>
      <c r="G1743" t="s">
        <v>405</v>
      </c>
    </row>
    <row r="1744" spans="1:7" x14ac:dyDescent="0.25">
      <c r="A1744" s="3">
        <v>44617</v>
      </c>
      <c r="B1744" s="2" t="str">
        <f t="shared" si="27"/>
        <v>sa-25-2</v>
      </c>
      <c r="C1744" t="s">
        <v>353</v>
      </c>
      <c r="D1744" t="s">
        <v>61</v>
      </c>
      <c r="E1744">
        <v>6</v>
      </c>
      <c r="F1744" s="6">
        <f>VLOOKUP(D1744,Products!A$2:C$101,3,FALSE)*E1744</f>
        <v>186</v>
      </c>
      <c r="G1744" t="s">
        <v>408</v>
      </c>
    </row>
    <row r="1745" spans="1:7" x14ac:dyDescent="0.25">
      <c r="A1745" s="3">
        <v>44453</v>
      </c>
      <c r="B1745" s="2" t="str">
        <f t="shared" si="27"/>
        <v>sa-14-9</v>
      </c>
      <c r="C1745" t="s">
        <v>312</v>
      </c>
      <c r="D1745" t="s">
        <v>53</v>
      </c>
      <c r="E1745">
        <v>4</v>
      </c>
      <c r="F1745" s="6">
        <f>VLOOKUP(D1745,Products!A$2:C$101,3,FALSE)*E1745</f>
        <v>128</v>
      </c>
      <c r="G1745" t="s">
        <v>408</v>
      </c>
    </row>
    <row r="1746" spans="1:7" x14ac:dyDescent="0.25">
      <c r="A1746" s="3">
        <v>43966</v>
      </c>
      <c r="B1746" s="2" t="str">
        <f t="shared" si="27"/>
        <v>sa-15-5</v>
      </c>
      <c r="C1746" t="s">
        <v>344</v>
      </c>
      <c r="D1746" t="s">
        <v>26</v>
      </c>
      <c r="E1746">
        <v>6</v>
      </c>
      <c r="F1746" s="6">
        <f>VLOOKUP(D1746,Products!A$2:C$101,3,FALSE)*E1746</f>
        <v>198</v>
      </c>
      <c r="G1746" t="s">
        <v>400</v>
      </c>
    </row>
    <row r="1747" spans="1:7" x14ac:dyDescent="0.25">
      <c r="A1747" s="3">
        <v>44403</v>
      </c>
      <c r="B1747" s="2" t="str">
        <f t="shared" si="27"/>
        <v>sa-26-7</v>
      </c>
      <c r="C1747" t="s">
        <v>329</v>
      </c>
      <c r="D1747" t="s">
        <v>99</v>
      </c>
      <c r="E1747">
        <v>3</v>
      </c>
      <c r="F1747" s="6">
        <f>VLOOKUP(D1747,Products!A$2:C$101,3,FALSE)*E1747</f>
        <v>45</v>
      </c>
      <c r="G1747" t="s">
        <v>403</v>
      </c>
    </row>
    <row r="1748" spans="1:7" x14ac:dyDescent="0.25">
      <c r="A1748" s="3">
        <v>44534</v>
      </c>
      <c r="B1748" s="2" t="str">
        <f t="shared" si="27"/>
        <v>sa-4-12</v>
      </c>
      <c r="C1748" t="s">
        <v>349</v>
      </c>
      <c r="D1748" t="s">
        <v>6</v>
      </c>
      <c r="E1748">
        <v>4</v>
      </c>
      <c r="F1748" s="6">
        <f>VLOOKUP(D1748,Products!A$2:C$101,3,FALSE)*E1748</f>
        <v>276</v>
      </c>
      <c r="G1748" t="s">
        <v>404</v>
      </c>
    </row>
    <row r="1749" spans="1:7" x14ac:dyDescent="0.25">
      <c r="A1749" s="3">
        <v>43893</v>
      </c>
      <c r="B1749" s="2" t="str">
        <f t="shared" si="27"/>
        <v>sa-3-3</v>
      </c>
      <c r="C1749" t="s">
        <v>308</v>
      </c>
      <c r="D1749" t="s">
        <v>59</v>
      </c>
      <c r="E1749">
        <v>4</v>
      </c>
      <c r="F1749" s="6">
        <f>VLOOKUP(D1749,Products!A$2:C$101,3,FALSE)*E1749</f>
        <v>140</v>
      </c>
      <c r="G1749" t="s">
        <v>406</v>
      </c>
    </row>
    <row r="1750" spans="1:7" x14ac:dyDescent="0.25">
      <c r="A1750" s="3">
        <v>43867</v>
      </c>
      <c r="B1750" s="2" t="str">
        <f t="shared" si="27"/>
        <v>sa-6-2</v>
      </c>
      <c r="C1750" t="s">
        <v>345</v>
      </c>
      <c r="D1750" t="s">
        <v>61</v>
      </c>
      <c r="E1750">
        <v>5</v>
      </c>
      <c r="F1750" s="6">
        <f>VLOOKUP(D1750,Products!A$2:C$101,3,FALSE)*E1750</f>
        <v>155</v>
      </c>
      <c r="G1750" t="s">
        <v>403</v>
      </c>
    </row>
    <row r="1751" spans="1:7" x14ac:dyDescent="0.25">
      <c r="A1751" s="3">
        <v>43851</v>
      </c>
      <c r="B1751" s="2" t="str">
        <f t="shared" si="27"/>
        <v>sa-21-1</v>
      </c>
      <c r="C1751" t="s">
        <v>339</v>
      </c>
      <c r="D1751" t="s">
        <v>38</v>
      </c>
      <c r="E1751">
        <v>3</v>
      </c>
      <c r="F1751" s="6">
        <f>VLOOKUP(D1751,Products!A$2:C$101,3,FALSE)*E1751</f>
        <v>96</v>
      </c>
      <c r="G1751" t="s">
        <v>400</v>
      </c>
    </row>
    <row r="1752" spans="1:7" x14ac:dyDescent="0.25">
      <c r="A1752" s="3">
        <v>44185</v>
      </c>
      <c r="B1752" s="2" t="str">
        <f t="shared" si="27"/>
        <v>sa-20-12</v>
      </c>
      <c r="C1752" t="s">
        <v>333</v>
      </c>
      <c r="D1752" t="s">
        <v>38</v>
      </c>
      <c r="E1752">
        <v>6</v>
      </c>
      <c r="F1752" s="6">
        <f>VLOOKUP(D1752,Products!A$2:C$101,3,FALSE)*E1752</f>
        <v>192</v>
      </c>
      <c r="G1752" t="s">
        <v>397</v>
      </c>
    </row>
    <row r="1753" spans="1:7" x14ac:dyDescent="0.25">
      <c r="A1753" s="3">
        <v>44326</v>
      </c>
      <c r="B1753" s="2" t="str">
        <f t="shared" si="27"/>
        <v>sa-10-5</v>
      </c>
      <c r="C1753" t="s">
        <v>353</v>
      </c>
      <c r="D1753" t="s">
        <v>59</v>
      </c>
      <c r="E1753">
        <v>4</v>
      </c>
      <c r="F1753" s="6">
        <f>VLOOKUP(D1753,Products!A$2:C$101,3,FALSE)*E1753</f>
        <v>140</v>
      </c>
      <c r="G1753" t="s">
        <v>408</v>
      </c>
    </row>
    <row r="1754" spans="1:7" x14ac:dyDescent="0.25">
      <c r="A1754" s="3">
        <v>44074</v>
      </c>
      <c r="B1754" s="2" t="str">
        <f t="shared" si="27"/>
        <v>sa-31-8</v>
      </c>
      <c r="C1754" t="s">
        <v>323</v>
      </c>
      <c r="D1754" t="s">
        <v>39</v>
      </c>
      <c r="E1754">
        <v>6</v>
      </c>
      <c r="F1754" s="6">
        <f>VLOOKUP(D1754,Products!A$2:C$101,3,FALSE)*E1754</f>
        <v>192</v>
      </c>
      <c r="G1754" t="s">
        <v>398</v>
      </c>
    </row>
    <row r="1755" spans="1:7" x14ac:dyDescent="0.25">
      <c r="A1755" s="3">
        <v>44152</v>
      </c>
      <c r="B1755" s="2" t="str">
        <f t="shared" si="27"/>
        <v>sa-17-11</v>
      </c>
      <c r="C1755" t="s">
        <v>321</v>
      </c>
      <c r="D1755" t="s">
        <v>34</v>
      </c>
      <c r="E1755">
        <v>6</v>
      </c>
      <c r="F1755" s="6">
        <f>VLOOKUP(D1755,Products!A$2:C$101,3,FALSE)*E1755</f>
        <v>210</v>
      </c>
      <c r="G1755" t="s">
        <v>402</v>
      </c>
    </row>
    <row r="1756" spans="1:7" x14ac:dyDescent="0.25">
      <c r="A1756" s="3">
        <v>44169</v>
      </c>
      <c r="B1756" s="2" t="str">
        <f t="shared" si="27"/>
        <v>sa-4-12</v>
      </c>
      <c r="C1756" t="s">
        <v>328</v>
      </c>
      <c r="D1756" t="s">
        <v>95</v>
      </c>
      <c r="E1756">
        <v>3</v>
      </c>
      <c r="F1756" s="6">
        <f>VLOOKUP(D1756,Products!A$2:C$101,3,FALSE)*E1756</f>
        <v>36</v>
      </c>
      <c r="G1756" t="s">
        <v>395</v>
      </c>
    </row>
    <row r="1757" spans="1:7" x14ac:dyDescent="0.25">
      <c r="A1757" s="3">
        <v>44312</v>
      </c>
      <c r="B1757" s="2" t="str">
        <f t="shared" si="27"/>
        <v>sa-26-4</v>
      </c>
      <c r="C1757" t="s">
        <v>334</v>
      </c>
      <c r="D1757" t="s">
        <v>46</v>
      </c>
      <c r="E1757">
        <v>4</v>
      </c>
      <c r="F1757" s="6">
        <f>VLOOKUP(D1757,Products!A$2:C$101,3,FALSE)*E1757</f>
        <v>120</v>
      </c>
      <c r="G1757" t="s">
        <v>404</v>
      </c>
    </row>
    <row r="1758" spans="1:7" x14ac:dyDescent="0.25">
      <c r="A1758" s="3">
        <v>44541</v>
      </c>
      <c r="B1758" s="2" t="str">
        <f t="shared" si="27"/>
        <v>sa-11-12</v>
      </c>
      <c r="C1758" t="s">
        <v>312</v>
      </c>
      <c r="D1758" t="s">
        <v>92</v>
      </c>
      <c r="E1758">
        <v>2</v>
      </c>
      <c r="F1758" s="6">
        <f>VLOOKUP(D1758,Products!A$2:C$101,3,FALSE)*E1758</f>
        <v>28</v>
      </c>
      <c r="G1758" t="s">
        <v>404</v>
      </c>
    </row>
    <row r="1759" spans="1:7" x14ac:dyDescent="0.25">
      <c r="A1759" s="3">
        <v>44350</v>
      </c>
      <c r="B1759" s="2" t="str">
        <f t="shared" si="27"/>
        <v>sa-3-6</v>
      </c>
      <c r="C1759" t="s">
        <v>332</v>
      </c>
      <c r="D1759" t="s">
        <v>36</v>
      </c>
      <c r="E1759">
        <v>2</v>
      </c>
      <c r="F1759" s="6">
        <f>VLOOKUP(D1759,Products!A$2:C$101,3,FALSE)*E1759</f>
        <v>68</v>
      </c>
      <c r="G1759" t="s">
        <v>396</v>
      </c>
    </row>
    <row r="1760" spans="1:7" x14ac:dyDescent="0.25">
      <c r="A1760" s="3">
        <v>44139</v>
      </c>
      <c r="B1760" s="2" t="str">
        <f t="shared" si="27"/>
        <v>sa-4-11</v>
      </c>
      <c r="C1760" t="s">
        <v>336</v>
      </c>
      <c r="D1760" t="s">
        <v>101</v>
      </c>
      <c r="E1760">
        <v>3</v>
      </c>
      <c r="F1760" s="6">
        <f>VLOOKUP(D1760,Products!A$2:C$101,3,FALSE)*E1760</f>
        <v>30</v>
      </c>
      <c r="G1760" t="s">
        <v>406</v>
      </c>
    </row>
    <row r="1761" spans="1:7" x14ac:dyDescent="0.25">
      <c r="A1761" s="3">
        <v>44605</v>
      </c>
      <c r="B1761" s="2" t="str">
        <f t="shared" si="27"/>
        <v>sa-13-2</v>
      </c>
      <c r="C1761" t="s">
        <v>320</v>
      </c>
      <c r="D1761" t="s">
        <v>16</v>
      </c>
      <c r="E1761">
        <v>2</v>
      </c>
      <c r="F1761" s="6">
        <f>VLOOKUP(D1761,Products!A$2:C$101,3,FALSE)*E1761</f>
        <v>60</v>
      </c>
      <c r="G1761" t="s">
        <v>406</v>
      </c>
    </row>
    <row r="1762" spans="1:7" x14ac:dyDescent="0.25">
      <c r="A1762" s="3">
        <v>44575</v>
      </c>
      <c r="B1762" s="2" t="str">
        <f t="shared" si="27"/>
        <v>sa-14-1</v>
      </c>
      <c r="C1762" t="s">
        <v>334</v>
      </c>
      <c r="D1762" t="s">
        <v>37</v>
      </c>
      <c r="E1762">
        <v>2</v>
      </c>
      <c r="F1762" s="6">
        <f>VLOOKUP(D1762,Products!A$2:C$101,3,FALSE)*E1762</f>
        <v>66</v>
      </c>
      <c r="G1762" t="s">
        <v>396</v>
      </c>
    </row>
    <row r="1763" spans="1:7" x14ac:dyDescent="0.25">
      <c r="A1763" s="3">
        <v>44316</v>
      </c>
      <c r="B1763" s="2" t="str">
        <f t="shared" si="27"/>
        <v>sa-30-4</v>
      </c>
      <c r="C1763" t="s">
        <v>334</v>
      </c>
      <c r="D1763" t="s">
        <v>23</v>
      </c>
      <c r="E1763">
        <v>4</v>
      </c>
      <c r="F1763" s="6">
        <f>VLOOKUP(D1763,Products!A$2:C$101,3,FALSE)*E1763</f>
        <v>124</v>
      </c>
      <c r="G1763" t="s">
        <v>397</v>
      </c>
    </row>
    <row r="1764" spans="1:7" x14ac:dyDescent="0.25">
      <c r="A1764" s="3">
        <v>43904</v>
      </c>
      <c r="B1764" s="2" t="str">
        <f t="shared" si="27"/>
        <v>sa-14-3</v>
      </c>
      <c r="C1764" t="s">
        <v>320</v>
      </c>
      <c r="D1764" t="s">
        <v>99</v>
      </c>
      <c r="E1764">
        <v>3</v>
      </c>
      <c r="F1764" s="6">
        <f>VLOOKUP(D1764,Products!A$2:C$101,3,FALSE)*E1764</f>
        <v>45</v>
      </c>
      <c r="G1764" t="s">
        <v>402</v>
      </c>
    </row>
    <row r="1765" spans="1:7" x14ac:dyDescent="0.25">
      <c r="A1765" s="3">
        <v>44616</v>
      </c>
      <c r="B1765" s="2" t="str">
        <f t="shared" si="27"/>
        <v>sa-24-2</v>
      </c>
      <c r="C1765" t="s">
        <v>309</v>
      </c>
      <c r="D1765" t="s">
        <v>37</v>
      </c>
      <c r="E1765">
        <v>6</v>
      </c>
      <c r="F1765" s="6">
        <f>VLOOKUP(D1765,Products!A$2:C$101,3,FALSE)*E1765</f>
        <v>198</v>
      </c>
      <c r="G1765" t="s">
        <v>398</v>
      </c>
    </row>
    <row r="1766" spans="1:7" x14ac:dyDescent="0.25">
      <c r="A1766" s="3">
        <v>44218</v>
      </c>
      <c r="B1766" s="2" t="str">
        <f t="shared" si="27"/>
        <v>sa-22-1</v>
      </c>
      <c r="C1766" t="s">
        <v>312</v>
      </c>
      <c r="D1766" t="s">
        <v>58</v>
      </c>
      <c r="E1766">
        <v>2</v>
      </c>
      <c r="F1766" s="6">
        <f>VLOOKUP(D1766,Products!A$2:C$101,3,FALSE)*E1766</f>
        <v>70</v>
      </c>
      <c r="G1766" t="s">
        <v>397</v>
      </c>
    </row>
    <row r="1767" spans="1:7" x14ac:dyDescent="0.25">
      <c r="A1767" s="3">
        <v>44600</v>
      </c>
      <c r="B1767" s="2" t="str">
        <f t="shared" si="27"/>
        <v>sa-8-2</v>
      </c>
      <c r="C1767" t="s">
        <v>316</v>
      </c>
      <c r="D1767" t="s">
        <v>90</v>
      </c>
      <c r="E1767">
        <v>5</v>
      </c>
      <c r="F1767" s="6">
        <f>VLOOKUP(D1767,Products!A$2:C$101,3,FALSE)*E1767</f>
        <v>50</v>
      </c>
      <c r="G1767" t="s">
        <v>397</v>
      </c>
    </row>
    <row r="1768" spans="1:7" x14ac:dyDescent="0.25">
      <c r="A1768" s="3">
        <v>44121</v>
      </c>
      <c r="B1768" s="2" t="str">
        <f t="shared" si="27"/>
        <v>sa-17-10</v>
      </c>
      <c r="C1768" t="s">
        <v>325</v>
      </c>
      <c r="D1768" t="s">
        <v>47</v>
      </c>
      <c r="E1768">
        <v>5</v>
      </c>
      <c r="F1768" s="6">
        <f>VLOOKUP(D1768,Products!A$2:C$101,3,FALSE)*E1768</f>
        <v>160</v>
      </c>
      <c r="G1768" t="s">
        <v>404</v>
      </c>
    </row>
    <row r="1769" spans="1:7" x14ac:dyDescent="0.25">
      <c r="A1769" s="3">
        <v>44207</v>
      </c>
      <c r="B1769" s="2" t="str">
        <f t="shared" si="27"/>
        <v>sa-11-1</v>
      </c>
      <c r="C1769" t="s">
        <v>307</v>
      </c>
      <c r="D1769" t="s">
        <v>61</v>
      </c>
      <c r="E1769">
        <v>4</v>
      </c>
      <c r="F1769" s="6">
        <f>VLOOKUP(D1769,Products!A$2:C$101,3,FALSE)*E1769</f>
        <v>124</v>
      </c>
      <c r="G1769" t="s">
        <v>406</v>
      </c>
    </row>
    <row r="1770" spans="1:7" x14ac:dyDescent="0.25">
      <c r="A1770" s="3">
        <v>44247</v>
      </c>
      <c r="B1770" s="2" t="str">
        <f t="shared" si="27"/>
        <v>sa-20-2</v>
      </c>
      <c r="C1770" t="s">
        <v>339</v>
      </c>
      <c r="D1770" t="s">
        <v>65</v>
      </c>
      <c r="E1770">
        <v>4</v>
      </c>
      <c r="F1770" s="6">
        <f>VLOOKUP(D1770,Products!A$2:C$101,3,FALSE)*E1770</f>
        <v>128</v>
      </c>
      <c r="G1770" t="s">
        <v>399</v>
      </c>
    </row>
    <row r="1771" spans="1:7" x14ac:dyDescent="0.25">
      <c r="A1771" s="3">
        <v>44503</v>
      </c>
      <c r="B1771" s="2" t="str">
        <f t="shared" si="27"/>
        <v>sa-3-11</v>
      </c>
      <c r="C1771" t="s">
        <v>318</v>
      </c>
      <c r="D1771" t="s">
        <v>58</v>
      </c>
      <c r="E1771">
        <v>2</v>
      </c>
      <c r="F1771" s="6">
        <f>VLOOKUP(D1771,Products!A$2:C$101,3,FALSE)*E1771</f>
        <v>70</v>
      </c>
      <c r="G1771" t="s">
        <v>397</v>
      </c>
    </row>
    <row r="1772" spans="1:7" x14ac:dyDescent="0.25">
      <c r="A1772" s="3">
        <v>44149</v>
      </c>
      <c r="B1772" s="2" t="str">
        <f t="shared" si="27"/>
        <v>sa-14-11</v>
      </c>
      <c r="C1772" t="s">
        <v>329</v>
      </c>
      <c r="D1772" t="s">
        <v>86</v>
      </c>
      <c r="E1772">
        <v>6</v>
      </c>
      <c r="F1772" s="6">
        <f>VLOOKUP(D1772,Products!A$2:C$101,3,FALSE)*E1772</f>
        <v>204</v>
      </c>
      <c r="G1772" t="s">
        <v>395</v>
      </c>
    </row>
    <row r="1773" spans="1:7" x14ac:dyDescent="0.25">
      <c r="A1773" s="3">
        <v>44413</v>
      </c>
      <c r="B1773" s="2" t="str">
        <f t="shared" si="27"/>
        <v>sa-5-8</v>
      </c>
      <c r="C1773" t="s">
        <v>309</v>
      </c>
      <c r="D1773" t="s">
        <v>95</v>
      </c>
      <c r="E1773">
        <v>6</v>
      </c>
      <c r="F1773" s="6">
        <f>VLOOKUP(D1773,Products!A$2:C$101,3,FALSE)*E1773</f>
        <v>72</v>
      </c>
      <c r="G1773" t="s">
        <v>402</v>
      </c>
    </row>
    <row r="1774" spans="1:7" x14ac:dyDescent="0.25">
      <c r="A1774" s="3">
        <v>44420</v>
      </c>
      <c r="B1774" s="2" t="str">
        <f t="shared" si="27"/>
        <v>sa-12-8</v>
      </c>
      <c r="C1774" t="s">
        <v>349</v>
      </c>
      <c r="D1774" t="s">
        <v>24</v>
      </c>
      <c r="E1774">
        <v>2</v>
      </c>
      <c r="F1774" s="6">
        <f>VLOOKUP(D1774,Products!A$2:C$101,3,FALSE)*E1774</f>
        <v>66</v>
      </c>
      <c r="G1774" t="s">
        <v>399</v>
      </c>
    </row>
    <row r="1775" spans="1:7" x14ac:dyDescent="0.25">
      <c r="A1775" s="3">
        <v>44671</v>
      </c>
      <c r="B1775" s="2" t="str">
        <f t="shared" si="27"/>
        <v>sa-20-4</v>
      </c>
      <c r="C1775" t="s">
        <v>345</v>
      </c>
      <c r="D1775" t="s">
        <v>30</v>
      </c>
      <c r="E1775">
        <v>3</v>
      </c>
      <c r="F1775" s="6">
        <f>VLOOKUP(D1775,Products!A$2:C$101,3,FALSE)*E1775</f>
        <v>105</v>
      </c>
      <c r="G1775" t="s">
        <v>402</v>
      </c>
    </row>
    <row r="1776" spans="1:7" x14ac:dyDescent="0.25">
      <c r="A1776" s="3">
        <v>44583</v>
      </c>
      <c r="B1776" s="2" t="str">
        <f t="shared" si="27"/>
        <v>sa-22-1</v>
      </c>
      <c r="C1776" t="s">
        <v>318</v>
      </c>
      <c r="D1776" t="s">
        <v>13</v>
      </c>
      <c r="E1776">
        <v>4</v>
      </c>
      <c r="F1776" s="6">
        <f>VLOOKUP(D1776,Products!A$2:C$101,3,FALSE)*E1776</f>
        <v>284</v>
      </c>
      <c r="G1776" t="s">
        <v>402</v>
      </c>
    </row>
    <row r="1777" spans="1:7" x14ac:dyDescent="0.25">
      <c r="A1777" s="3">
        <v>44323</v>
      </c>
      <c r="B1777" s="2" t="str">
        <f t="shared" si="27"/>
        <v>sa-7-5</v>
      </c>
      <c r="C1777" t="s">
        <v>308</v>
      </c>
      <c r="D1777" t="s">
        <v>17</v>
      </c>
      <c r="E1777">
        <v>6</v>
      </c>
      <c r="F1777" s="6">
        <f>VLOOKUP(D1777,Products!A$2:C$101,3,FALSE)*E1777</f>
        <v>192</v>
      </c>
      <c r="G1777" t="s">
        <v>401</v>
      </c>
    </row>
    <row r="1778" spans="1:7" x14ac:dyDescent="0.25">
      <c r="A1778" s="3">
        <v>44483</v>
      </c>
      <c r="B1778" s="2" t="str">
        <f t="shared" si="27"/>
        <v>sa-14-10</v>
      </c>
      <c r="C1778" t="s">
        <v>349</v>
      </c>
      <c r="D1778" t="s">
        <v>19</v>
      </c>
      <c r="E1778">
        <v>5</v>
      </c>
      <c r="F1778" s="6">
        <f>VLOOKUP(D1778,Products!A$2:C$101,3,FALSE)*E1778</f>
        <v>165</v>
      </c>
      <c r="G1778" t="s">
        <v>406</v>
      </c>
    </row>
    <row r="1779" spans="1:7" x14ac:dyDescent="0.25">
      <c r="A1779" s="3">
        <v>43920</v>
      </c>
      <c r="B1779" s="2" t="str">
        <f t="shared" si="27"/>
        <v>sa-30-3</v>
      </c>
      <c r="C1779" t="s">
        <v>355</v>
      </c>
      <c r="D1779" t="s">
        <v>18</v>
      </c>
      <c r="E1779">
        <v>6</v>
      </c>
      <c r="F1779" s="6">
        <f>VLOOKUP(D1779,Products!A$2:C$101,3,FALSE)*E1779</f>
        <v>210</v>
      </c>
      <c r="G1779" t="s">
        <v>405</v>
      </c>
    </row>
    <row r="1780" spans="1:7" x14ac:dyDescent="0.25">
      <c r="A1780" s="3">
        <v>44387</v>
      </c>
      <c r="B1780" s="2" t="str">
        <f t="shared" si="27"/>
        <v>sa-10-7</v>
      </c>
      <c r="C1780" t="s">
        <v>322</v>
      </c>
      <c r="D1780" t="s">
        <v>60</v>
      </c>
      <c r="E1780">
        <v>4</v>
      </c>
      <c r="F1780" s="6">
        <f>VLOOKUP(D1780,Products!A$2:C$101,3,FALSE)*E1780</f>
        <v>120</v>
      </c>
      <c r="G1780" t="s">
        <v>397</v>
      </c>
    </row>
    <row r="1781" spans="1:7" x14ac:dyDescent="0.25">
      <c r="A1781" s="3">
        <v>43922</v>
      </c>
      <c r="B1781" s="2" t="str">
        <f t="shared" si="27"/>
        <v>sa-1-4</v>
      </c>
      <c r="C1781" t="s">
        <v>346</v>
      </c>
      <c r="D1781" t="s">
        <v>51</v>
      </c>
      <c r="E1781">
        <v>2</v>
      </c>
      <c r="F1781" s="6">
        <f>VLOOKUP(D1781,Products!A$2:C$101,3,FALSE)*E1781</f>
        <v>62</v>
      </c>
      <c r="G1781" t="s">
        <v>404</v>
      </c>
    </row>
    <row r="1782" spans="1:7" x14ac:dyDescent="0.25">
      <c r="A1782" s="3">
        <v>44520</v>
      </c>
      <c r="B1782" s="2" t="str">
        <f t="shared" si="27"/>
        <v>sa-20-11</v>
      </c>
      <c r="C1782" t="s">
        <v>309</v>
      </c>
      <c r="D1782" t="s">
        <v>37</v>
      </c>
      <c r="E1782">
        <v>2</v>
      </c>
      <c r="F1782" s="6">
        <f>VLOOKUP(D1782,Products!A$2:C$101,3,FALSE)*E1782</f>
        <v>66</v>
      </c>
      <c r="G1782" t="s">
        <v>402</v>
      </c>
    </row>
    <row r="1783" spans="1:7" x14ac:dyDescent="0.25">
      <c r="A1783" s="3">
        <v>44575</v>
      </c>
      <c r="B1783" s="2" t="str">
        <f t="shared" si="27"/>
        <v>sa-14-1</v>
      </c>
      <c r="C1783" t="s">
        <v>330</v>
      </c>
      <c r="D1783" t="s">
        <v>39</v>
      </c>
      <c r="E1783">
        <v>3</v>
      </c>
      <c r="F1783" s="6">
        <f>VLOOKUP(D1783,Products!A$2:C$101,3,FALSE)*E1783</f>
        <v>96</v>
      </c>
      <c r="G1783" t="s">
        <v>405</v>
      </c>
    </row>
    <row r="1784" spans="1:7" x14ac:dyDescent="0.25">
      <c r="A1784" s="3">
        <v>44466</v>
      </c>
      <c r="B1784" s="2" t="str">
        <f t="shared" si="27"/>
        <v>sa-27-9</v>
      </c>
      <c r="C1784" t="s">
        <v>332</v>
      </c>
      <c r="D1784" t="s">
        <v>34</v>
      </c>
      <c r="E1784">
        <v>3</v>
      </c>
      <c r="F1784" s="6">
        <f>VLOOKUP(D1784,Products!A$2:C$101,3,FALSE)*E1784</f>
        <v>105</v>
      </c>
      <c r="G1784" t="s">
        <v>397</v>
      </c>
    </row>
    <row r="1785" spans="1:7" x14ac:dyDescent="0.25">
      <c r="A1785" s="3">
        <v>43916</v>
      </c>
      <c r="B1785" s="2" t="str">
        <f t="shared" si="27"/>
        <v>sa-26-3</v>
      </c>
      <c r="C1785" t="s">
        <v>332</v>
      </c>
      <c r="D1785" t="s">
        <v>87</v>
      </c>
      <c r="E1785">
        <v>2</v>
      </c>
      <c r="F1785" s="6">
        <f>VLOOKUP(D1785,Products!A$2:C$101,3,FALSE)*E1785</f>
        <v>26</v>
      </c>
      <c r="G1785" t="s">
        <v>397</v>
      </c>
    </row>
    <row r="1786" spans="1:7" x14ac:dyDescent="0.25">
      <c r="A1786" s="3">
        <v>44704</v>
      </c>
      <c r="B1786" s="2" t="str">
        <f t="shared" si="27"/>
        <v>sa-23-5</v>
      </c>
      <c r="C1786" t="s">
        <v>328</v>
      </c>
      <c r="D1786" t="s">
        <v>3</v>
      </c>
      <c r="E1786">
        <v>5</v>
      </c>
      <c r="F1786" s="6">
        <f>VLOOKUP(D1786,Products!A$2:C$101,3,FALSE)*E1786</f>
        <v>370</v>
      </c>
      <c r="G1786" t="s">
        <v>408</v>
      </c>
    </row>
    <row r="1787" spans="1:7" x14ac:dyDescent="0.25">
      <c r="A1787" s="3">
        <v>44199</v>
      </c>
      <c r="B1787" s="2" t="str">
        <f t="shared" si="27"/>
        <v>sa-3-1</v>
      </c>
      <c r="C1787" t="s">
        <v>313</v>
      </c>
      <c r="D1787" t="s">
        <v>89</v>
      </c>
      <c r="E1787">
        <v>4</v>
      </c>
      <c r="F1787" s="6">
        <f>VLOOKUP(D1787,Products!A$2:C$101,3,FALSE)*E1787</f>
        <v>80</v>
      </c>
      <c r="G1787" t="s">
        <v>395</v>
      </c>
    </row>
    <row r="1788" spans="1:7" x14ac:dyDescent="0.25">
      <c r="A1788" s="3">
        <v>44048</v>
      </c>
      <c r="B1788" s="2" t="str">
        <f t="shared" si="27"/>
        <v>sa-5-8</v>
      </c>
      <c r="C1788" t="s">
        <v>338</v>
      </c>
      <c r="D1788" t="s">
        <v>60</v>
      </c>
      <c r="E1788">
        <v>5</v>
      </c>
      <c r="F1788" s="6">
        <f>VLOOKUP(D1788,Products!A$2:C$101,3,FALSE)*E1788</f>
        <v>150</v>
      </c>
      <c r="G1788" t="s">
        <v>396</v>
      </c>
    </row>
    <row r="1789" spans="1:7" x14ac:dyDescent="0.25">
      <c r="A1789" s="3">
        <v>44291</v>
      </c>
      <c r="B1789" s="2" t="str">
        <f t="shared" si="27"/>
        <v>sa-5-4</v>
      </c>
      <c r="C1789" t="s">
        <v>347</v>
      </c>
      <c r="D1789" t="s">
        <v>23</v>
      </c>
      <c r="E1789">
        <v>3</v>
      </c>
      <c r="F1789" s="6">
        <f>VLOOKUP(D1789,Products!A$2:C$101,3,FALSE)*E1789</f>
        <v>93</v>
      </c>
      <c r="G1789" t="s">
        <v>403</v>
      </c>
    </row>
    <row r="1790" spans="1:7" x14ac:dyDescent="0.25">
      <c r="A1790" s="3">
        <v>44348</v>
      </c>
      <c r="B1790" s="2" t="str">
        <f t="shared" si="27"/>
        <v>sa-1-6</v>
      </c>
      <c r="C1790" t="s">
        <v>310</v>
      </c>
      <c r="D1790" t="s">
        <v>94</v>
      </c>
      <c r="E1790">
        <v>5</v>
      </c>
      <c r="F1790" s="6">
        <f>VLOOKUP(D1790,Products!A$2:C$101,3,FALSE)*E1790</f>
        <v>95</v>
      </c>
      <c r="G1790" t="s">
        <v>405</v>
      </c>
    </row>
    <row r="1791" spans="1:7" x14ac:dyDescent="0.25">
      <c r="A1791" s="3">
        <v>44161</v>
      </c>
      <c r="B1791" s="2" t="str">
        <f t="shared" si="27"/>
        <v>sa-26-11</v>
      </c>
      <c r="C1791" t="s">
        <v>331</v>
      </c>
      <c r="D1791" t="s">
        <v>11</v>
      </c>
      <c r="E1791">
        <v>2</v>
      </c>
      <c r="F1791" s="6">
        <f>VLOOKUP(D1791,Products!A$2:C$101,3,FALSE)*E1791</f>
        <v>156</v>
      </c>
      <c r="G1791" t="s">
        <v>404</v>
      </c>
    </row>
    <row r="1792" spans="1:7" x14ac:dyDescent="0.25">
      <c r="A1792" s="3">
        <v>44053</v>
      </c>
      <c r="B1792" s="2" t="str">
        <f t="shared" si="27"/>
        <v>sa-10-8</v>
      </c>
      <c r="C1792" t="s">
        <v>316</v>
      </c>
      <c r="D1792" t="s">
        <v>42</v>
      </c>
      <c r="E1792">
        <v>4</v>
      </c>
      <c r="F1792" s="6">
        <f>VLOOKUP(D1792,Products!A$2:C$101,3,FALSE)*E1792</f>
        <v>136</v>
      </c>
      <c r="G1792" t="s">
        <v>408</v>
      </c>
    </row>
    <row r="1793" spans="1:7" x14ac:dyDescent="0.25">
      <c r="A1793" s="3">
        <v>44185</v>
      </c>
      <c r="B1793" s="2" t="str">
        <f t="shared" si="27"/>
        <v>sa-20-12</v>
      </c>
      <c r="C1793" t="s">
        <v>322</v>
      </c>
      <c r="D1793" t="s">
        <v>13</v>
      </c>
      <c r="E1793">
        <v>4</v>
      </c>
      <c r="F1793" s="6">
        <f>VLOOKUP(D1793,Products!A$2:C$101,3,FALSE)*E1793</f>
        <v>284</v>
      </c>
      <c r="G1793" t="s">
        <v>405</v>
      </c>
    </row>
    <row r="1794" spans="1:7" x14ac:dyDescent="0.25">
      <c r="A1794" s="3">
        <v>44508</v>
      </c>
      <c r="B1794" s="2" t="str">
        <f t="shared" si="27"/>
        <v>sa-8-11</v>
      </c>
      <c r="C1794" t="s">
        <v>354</v>
      </c>
      <c r="D1794" t="s">
        <v>100</v>
      </c>
      <c r="E1794">
        <v>3</v>
      </c>
      <c r="F1794" s="6">
        <f>VLOOKUP(D1794,Products!A$2:C$101,3,FALSE)*E1794</f>
        <v>45</v>
      </c>
      <c r="G1794" t="s">
        <v>401</v>
      </c>
    </row>
    <row r="1795" spans="1:7" x14ac:dyDescent="0.25">
      <c r="A1795" s="3">
        <v>44723</v>
      </c>
      <c r="B1795" s="2" t="str">
        <f t="shared" ref="B1795:B1858" si="28">"sa-"&amp;DAY(A1795)&amp;"-"&amp;MONTH(A1795)</f>
        <v>sa-11-6</v>
      </c>
      <c r="C1795" t="s">
        <v>347</v>
      </c>
      <c r="D1795" t="s">
        <v>49</v>
      </c>
      <c r="E1795">
        <v>5</v>
      </c>
      <c r="F1795" s="6">
        <f>VLOOKUP(D1795,Products!A$2:C$101,3,FALSE)*E1795</f>
        <v>165</v>
      </c>
      <c r="G1795" t="s">
        <v>401</v>
      </c>
    </row>
    <row r="1796" spans="1:7" x14ac:dyDescent="0.25">
      <c r="A1796" s="3">
        <v>44279</v>
      </c>
      <c r="B1796" s="2" t="str">
        <f t="shared" si="28"/>
        <v>sa-24-3</v>
      </c>
      <c r="C1796" t="s">
        <v>352</v>
      </c>
      <c r="D1796" t="s">
        <v>92</v>
      </c>
      <c r="E1796">
        <v>5</v>
      </c>
      <c r="F1796" s="6">
        <f>VLOOKUP(D1796,Products!A$2:C$101,3,FALSE)*E1796</f>
        <v>70</v>
      </c>
      <c r="G1796" t="s">
        <v>406</v>
      </c>
    </row>
    <row r="1797" spans="1:7" x14ac:dyDescent="0.25">
      <c r="A1797" s="3">
        <v>44176</v>
      </c>
      <c r="B1797" s="2" t="str">
        <f t="shared" si="28"/>
        <v>sa-11-12</v>
      </c>
      <c r="C1797" t="s">
        <v>319</v>
      </c>
      <c r="D1797" t="s">
        <v>24</v>
      </c>
      <c r="E1797">
        <v>6</v>
      </c>
      <c r="F1797" s="6">
        <f>VLOOKUP(D1797,Products!A$2:C$101,3,FALSE)*E1797</f>
        <v>198</v>
      </c>
      <c r="G1797" t="s">
        <v>405</v>
      </c>
    </row>
    <row r="1798" spans="1:7" x14ac:dyDescent="0.25">
      <c r="A1798" s="3">
        <v>44524</v>
      </c>
      <c r="B1798" s="2" t="str">
        <f t="shared" si="28"/>
        <v>sa-24-11</v>
      </c>
      <c r="C1798" t="s">
        <v>317</v>
      </c>
      <c r="D1798" t="s">
        <v>81</v>
      </c>
      <c r="E1798">
        <v>2</v>
      </c>
      <c r="F1798" s="6">
        <f>VLOOKUP(D1798,Products!A$2:C$101,3,FALSE)*E1798</f>
        <v>64</v>
      </c>
      <c r="G1798" t="s">
        <v>407</v>
      </c>
    </row>
    <row r="1799" spans="1:7" x14ac:dyDescent="0.25">
      <c r="A1799" s="3">
        <v>44593</v>
      </c>
      <c r="B1799" s="2" t="str">
        <f t="shared" si="28"/>
        <v>sa-1-2</v>
      </c>
      <c r="C1799" t="s">
        <v>354</v>
      </c>
      <c r="D1799" t="s">
        <v>82</v>
      </c>
      <c r="E1799">
        <v>2</v>
      </c>
      <c r="F1799" s="6">
        <f>VLOOKUP(D1799,Products!A$2:C$101,3,FALSE)*E1799</f>
        <v>64</v>
      </c>
      <c r="G1799" t="s">
        <v>400</v>
      </c>
    </row>
    <row r="1800" spans="1:7" x14ac:dyDescent="0.25">
      <c r="A1800" s="3">
        <v>43971</v>
      </c>
      <c r="B1800" s="2" t="str">
        <f t="shared" si="28"/>
        <v>sa-20-5</v>
      </c>
      <c r="C1800" t="s">
        <v>329</v>
      </c>
      <c r="D1800" t="s">
        <v>17</v>
      </c>
      <c r="E1800">
        <v>5</v>
      </c>
      <c r="F1800" s="6">
        <f>VLOOKUP(D1800,Products!A$2:C$101,3,FALSE)*E1800</f>
        <v>160</v>
      </c>
      <c r="G1800" t="s">
        <v>407</v>
      </c>
    </row>
    <row r="1801" spans="1:7" x14ac:dyDescent="0.25">
      <c r="A1801" s="3">
        <v>44140</v>
      </c>
      <c r="B1801" s="2" t="str">
        <f t="shared" si="28"/>
        <v>sa-5-11</v>
      </c>
      <c r="C1801" t="s">
        <v>327</v>
      </c>
      <c r="D1801" t="s">
        <v>50</v>
      </c>
      <c r="E1801">
        <v>5</v>
      </c>
      <c r="F1801" s="6">
        <f>VLOOKUP(D1801,Products!A$2:C$101,3,FALSE)*E1801</f>
        <v>160</v>
      </c>
      <c r="G1801" t="s">
        <v>406</v>
      </c>
    </row>
    <row r="1802" spans="1:7" x14ac:dyDescent="0.25">
      <c r="A1802" s="3">
        <v>44103</v>
      </c>
      <c r="B1802" s="2" t="str">
        <f t="shared" si="28"/>
        <v>sa-29-9</v>
      </c>
      <c r="C1802" t="s">
        <v>311</v>
      </c>
      <c r="D1802" t="s">
        <v>83</v>
      </c>
      <c r="E1802">
        <v>2</v>
      </c>
      <c r="F1802" s="6">
        <f>VLOOKUP(D1802,Products!A$2:C$101,3,FALSE)*E1802</f>
        <v>60</v>
      </c>
      <c r="G1802" t="s">
        <v>406</v>
      </c>
    </row>
    <row r="1803" spans="1:7" x14ac:dyDescent="0.25">
      <c r="A1803" s="3">
        <v>44114</v>
      </c>
      <c r="B1803" s="2" t="str">
        <f t="shared" si="28"/>
        <v>sa-10-10</v>
      </c>
      <c r="C1803" t="s">
        <v>337</v>
      </c>
      <c r="D1803" t="s">
        <v>99</v>
      </c>
      <c r="E1803">
        <v>3</v>
      </c>
      <c r="F1803" s="6">
        <f>VLOOKUP(D1803,Products!A$2:C$101,3,FALSE)*E1803</f>
        <v>45</v>
      </c>
      <c r="G1803" t="s">
        <v>402</v>
      </c>
    </row>
    <row r="1804" spans="1:7" x14ac:dyDescent="0.25">
      <c r="A1804" s="3">
        <v>44722</v>
      </c>
      <c r="B1804" s="2" t="str">
        <f t="shared" si="28"/>
        <v>sa-10-6</v>
      </c>
      <c r="C1804" t="s">
        <v>355</v>
      </c>
      <c r="D1804" t="s">
        <v>86</v>
      </c>
      <c r="E1804">
        <v>2</v>
      </c>
      <c r="F1804" s="6">
        <f>VLOOKUP(D1804,Products!A$2:C$101,3,FALSE)*E1804</f>
        <v>68</v>
      </c>
      <c r="G1804" t="s">
        <v>402</v>
      </c>
    </row>
    <row r="1805" spans="1:7" x14ac:dyDescent="0.25">
      <c r="A1805" s="3">
        <v>44227</v>
      </c>
      <c r="B1805" s="2" t="str">
        <f t="shared" si="28"/>
        <v>sa-31-1</v>
      </c>
      <c r="C1805" t="s">
        <v>323</v>
      </c>
      <c r="D1805" t="s">
        <v>48</v>
      </c>
      <c r="E1805">
        <v>6</v>
      </c>
      <c r="F1805" s="6">
        <f>VLOOKUP(D1805,Products!A$2:C$101,3,FALSE)*E1805</f>
        <v>198</v>
      </c>
      <c r="G1805" t="s">
        <v>407</v>
      </c>
    </row>
    <row r="1806" spans="1:7" x14ac:dyDescent="0.25">
      <c r="A1806" s="3">
        <v>44122</v>
      </c>
      <c r="B1806" s="2" t="str">
        <f t="shared" si="28"/>
        <v>sa-18-10</v>
      </c>
      <c r="C1806" t="s">
        <v>354</v>
      </c>
      <c r="D1806" t="s">
        <v>7</v>
      </c>
      <c r="E1806">
        <v>5</v>
      </c>
      <c r="F1806" s="6">
        <f>VLOOKUP(D1806,Products!A$2:C$101,3,FALSE)*E1806</f>
        <v>370</v>
      </c>
      <c r="G1806" t="s">
        <v>397</v>
      </c>
    </row>
    <row r="1807" spans="1:7" x14ac:dyDescent="0.25">
      <c r="A1807" s="3">
        <v>44320</v>
      </c>
      <c r="B1807" s="2" t="str">
        <f t="shared" si="28"/>
        <v>sa-4-5</v>
      </c>
      <c r="C1807" t="s">
        <v>327</v>
      </c>
      <c r="D1807" t="s">
        <v>11</v>
      </c>
      <c r="E1807">
        <v>2</v>
      </c>
      <c r="F1807" s="6">
        <f>VLOOKUP(D1807,Products!A$2:C$101,3,FALSE)*E1807</f>
        <v>156</v>
      </c>
      <c r="G1807" t="s">
        <v>403</v>
      </c>
    </row>
    <row r="1808" spans="1:7" x14ac:dyDescent="0.25">
      <c r="A1808" s="3">
        <v>43854</v>
      </c>
      <c r="B1808" s="2" t="str">
        <f t="shared" si="28"/>
        <v>sa-24-1</v>
      </c>
      <c r="C1808" t="s">
        <v>331</v>
      </c>
      <c r="D1808" t="s">
        <v>32</v>
      </c>
      <c r="E1808">
        <v>2</v>
      </c>
      <c r="F1808" s="6">
        <f>VLOOKUP(D1808,Products!A$2:C$101,3,FALSE)*E1808</f>
        <v>68</v>
      </c>
      <c r="G1808" t="s">
        <v>396</v>
      </c>
    </row>
    <row r="1809" spans="1:7" x14ac:dyDescent="0.25">
      <c r="A1809" s="3">
        <v>44403</v>
      </c>
      <c r="B1809" s="2" t="str">
        <f t="shared" si="28"/>
        <v>sa-26-7</v>
      </c>
      <c r="C1809" t="s">
        <v>332</v>
      </c>
      <c r="D1809" t="s">
        <v>81</v>
      </c>
      <c r="E1809">
        <v>5</v>
      </c>
      <c r="F1809" s="6">
        <f>VLOOKUP(D1809,Products!A$2:C$101,3,FALSE)*E1809</f>
        <v>160</v>
      </c>
      <c r="G1809" t="s">
        <v>408</v>
      </c>
    </row>
    <row r="1810" spans="1:7" x14ac:dyDescent="0.25">
      <c r="A1810" s="3">
        <v>43938</v>
      </c>
      <c r="B1810" s="2" t="str">
        <f t="shared" si="28"/>
        <v>sa-17-4</v>
      </c>
      <c r="C1810" t="s">
        <v>328</v>
      </c>
      <c r="D1810" t="s">
        <v>68</v>
      </c>
      <c r="E1810">
        <v>3</v>
      </c>
      <c r="F1810" s="6">
        <f>VLOOKUP(D1810,Products!A$2:C$101,3,FALSE)*E1810</f>
        <v>96</v>
      </c>
      <c r="G1810" t="s">
        <v>403</v>
      </c>
    </row>
    <row r="1811" spans="1:7" x14ac:dyDescent="0.25">
      <c r="A1811" s="3">
        <v>44687</v>
      </c>
      <c r="B1811" s="2" t="str">
        <f t="shared" si="28"/>
        <v>sa-6-5</v>
      </c>
      <c r="C1811" t="s">
        <v>340</v>
      </c>
      <c r="D1811" t="s">
        <v>14</v>
      </c>
      <c r="E1811">
        <v>2</v>
      </c>
      <c r="F1811" s="6">
        <f>VLOOKUP(D1811,Products!A$2:C$101,3,FALSE)*E1811</f>
        <v>158</v>
      </c>
      <c r="G1811" t="s">
        <v>396</v>
      </c>
    </row>
    <row r="1812" spans="1:7" x14ac:dyDescent="0.25">
      <c r="A1812" s="3">
        <v>44482</v>
      </c>
      <c r="B1812" s="2" t="str">
        <f t="shared" si="28"/>
        <v>sa-13-10</v>
      </c>
      <c r="C1812" t="s">
        <v>350</v>
      </c>
      <c r="D1812" t="s">
        <v>50</v>
      </c>
      <c r="E1812">
        <v>4</v>
      </c>
      <c r="F1812" s="6">
        <f>VLOOKUP(D1812,Products!A$2:C$101,3,FALSE)*E1812</f>
        <v>128</v>
      </c>
      <c r="G1812" t="s">
        <v>395</v>
      </c>
    </row>
    <row r="1813" spans="1:7" x14ac:dyDescent="0.25">
      <c r="A1813" s="3">
        <v>44462</v>
      </c>
      <c r="B1813" s="2" t="str">
        <f t="shared" si="28"/>
        <v>sa-23-9</v>
      </c>
      <c r="C1813" t="s">
        <v>343</v>
      </c>
      <c r="D1813" t="s">
        <v>96</v>
      </c>
      <c r="E1813">
        <v>5</v>
      </c>
      <c r="F1813" s="6">
        <f>VLOOKUP(D1813,Products!A$2:C$101,3,FALSE)*E1813</f>
        <v>50</v>
      </c>
      <c r="G1813" t="s">
        <v>399</v>
      </c>
    </row>
    <row r="1814" spans="1:7" x14ac:dyDescent="0.25">
      <c r="A1814" s="3">
        <v>43841</v>
      </c>
      <c r="B1814" s="2" t="str">
        <f t="shared" si="28"/>
        <v>sa-11-1</v>
      </c>
      <c r="C1814" t="s">
        <v>340</v>
      </c>
      <c r="D1814" t="s">
        <v>50</v>
      </c>
      <c r="E1814">
        <v>2</v>
      </c>
      <c r="F1814" s="6">
        <f>VLOOKUP(D1814,Products!A$2:C$101,3,FALSE)*E1814</f>
        <v>64</v>
      </c>
      <c r="G1814" t="s">
        <v>405</v>
      </c>
    </row>
    <row r="1815" spans="1:7" x14ac:dyDescent="0.25">
      <c r="A1815" s="3">
        <v>44227</v>
      </c>
      <c r="B1815" s="2" t="str">
        <f t="shared" si="28"/>
        <v>sa-31-1</v>
      </c>
      <c r="C1815" t="s">
        <v>309</v>
      </c>
      <c r="D1815" t="s">
        <v>92</v>
      </c>
      <c r="E1815">
        <v>4</v>
      </c>
      <c r="F1815" s="6">
        <f>VLOOKUP(D1815,Products!A$2:C$101,3,FALSE)*E1815</f>
        <v>56</v>
      </c>
      <c r="G1815" t="s">
        <v>397</v>
      </c>
    </row>
    <row r="1816" spans="1:7" x14ac:dyDescent="0.25">
      <c r="A1816" s="3">
        <v>44323</v>
      </c>
      <c r="B1816" s="2" t="str">
        <f t="shared" si="28"/>
        <v>sa-7-5</v>
      </c>
      <c r="C1816" t="s">
        <v>321</v>
      </c>
      <c r="D1816" t="s">
        <v>66</v>
      </c>
      <c r="E1816">
        <v>3</v>
      </c>
      <c r="F1816" s="6">
        <f>VLOOKUP(D1816,Products!A$2:C$101,3,FALSE)*E1816</f>
        <v>90</v>
      </c>
      <c r="G1816" t="s">
        <v>398</v>
      </c>
    </row>
    <row r="1817" spans="1:7" x14ac:dyDescent="0.25">
      <c r="A1817" s="3">
        <v>44395</v>
      </c>
      <c r="B1817" s="2" t="str">
        <f t="shared" si="28"/>
        <v>sa-18-7</v>
      </c>
      <c r="C1817" t="s">
        <v>317</v>
      </c>
      <c r="D1817" t="s">
        <v>74</v>
      </c>
      <c r="E1817">
        <v>4</v>
      </c>
      <c r="F1817" s="6">
        <f>VLOOKUP(D1817,Products!A$2:C$101,3,FALSE)*E1817</f>
        <v>136</v>
      </c>
      <c r="G1817" t="s">
        <v>402</v>
      </c>
    </row>
    <row r="1818" spans="1:7" x14ac:dyDescent="0.25">
      <c r="A1818" s="3">
        <v>44072</v>
      </c>
      <c r="B1818" s="2" t="str">
        <f t="shared" si="28"/>
        <v>sa-29-8</v>
      </c>
      <c r="C1818" t="s">
        <v>347</v>
      </c>
      <c r="D1818" t="s">
        <v>100</v>
      </c>
      <c r="E1818">
        <v>4</v>
      </c>
      <c r="F1818" s="6">
        <f>VLOOKUP(D1818,Products!A$2:C$101,3,FALSE)*E1818</f>
        <v>60</v>
      </c>
      <c r="G1818" t="s">
        <v>406</v>
      </c>
    </row>
    <row r="1819" spans="1:7" x14ac:dyDescent="0.25">
      <c r="A1819" s="3">
        <v>44346</v>
      </c>
      <c r="B1819" s="2" t="str">
        <f t="shared" si="28"/>
        <v>sa-30-5</v>
      </c>
      <c r="C1819" t="s">
        <v>346</v>
      </c>
      <c r="D1819" t="s">
        <v>10</v>
      </c>
      <c r="E1819">
        <v>2</v>
      </c>
      <c r="F1819" s="6">
        <f>VLOOKUP(D1819,Products!A$2:C$101,3,FALSE)*E1819</f>
        <v>144</v>
      </c>
      <c r="G1819" t="s">
        <v>395</v>
      </c>
    </row>
    <row r="1820" spans="1:7" x14ac:dyDescent="0.25">
      <c r="A1820" s="3">
        <v>44319</v>
      </c>
      <c r="B1820" s="2" t="str">
        <f t="shared" si="28"/>
        <v>sa-3-5</v>
      </c>
      <c r="C1820" t="s">
        <v>324</v>
      </c>
      <c r="D1820" t="s">
        <v>42</v>
      </c>
      <c r="E1820">
        <v>2</v>
      </c>
      <c r="F1820" s="6">
        <f>VLOOKUP(D1820,Products!A$2:C$101,3,FALSE)*E1820</f>
        <v>68</v>
      </c>
      <c r="G1820" t="s">
        <v>397</v>
      </c>
    </row>
    <row r="1821" spans="1:7" x14ac:dyDescent="0.25">
      <c r="A1821" s="3">
        <v>44178</v>
      </c>
      <c r="B1821" s="2" t="str">
        <f t="shared" si="28"/>
        <v>sa-13-12</v>
      </c>
      <c r="C1821" t="s">
        <v>336</v>
      </c>
      <c r="D1821" t="s">
        <v>53</v>
      </c>
      <c r="E1821">
        <v>5</v>
      </c>
      <c r="F1821" s="6">
        <f>VLOOKUP(D1821,Products!A$2:C$101,3,FALSE)*E1821</f>
        <v>160</v>
      </c>
      <c r="G1821" t="s">
        <v>395</v>
      </c>
    </row>
    <row r="1822" spans="1:7" x14ac:dyDescent="0.25">
      <c r="A1822" s="3">
        <v>44209</v>
      </c>
      <c r="B1822" s="2" t="str">
        <f t="shared" si="28"/>
        <v>sa-13-1</v>
      </c>
      <c r="C1822" t="s">
        <v>352</v>
      </c>
      <c r="D1822" t="s">
        <v>64</v>
      </c>
      <c r="E1822">
        <v>3</v>
      </c>
      <c r="F1822" s="6">
        <f>VLOOKUP(D1822,Products!A$2:C$101,3,FALSE)*E1822</f>
        <v>105</v>
      </c>
      <c r="G1822" t="s">
        <v>399</v>
      </c>
    </row>
    <row r="1823" spans="1:7" x14ac:dyDescent="0.25">
      <c r="A1823" s="3">
        <v>43893</v>
      </c>
      <c r="B1823" s="2" t="str">
        <f t="shared" si="28"/>
        <v>sa-3-3</v>
      </c>
      <c r="C1823" t="s">
        <v>322</v>
      </c>
      <c r="D1823" t="s">
        <v>58</v>
      </c>
      <c r="E1823">
        <v>6</v>
      </c>
      <c r="F1823" s="6">
        <f>VLOOKUP(D1823,Products!A$2:C$101,3,FALSE)*E1823</f>
        <v>210</v>
      </c>
      <c r="G1823" t="s">
        <v>399</v>
      </c>
    </row>
    <row r="1824" spans="1:7" x14ac:dyDescent="0.25">
      <c r="A1824" s="3">
        <v>44669</v>
      </c>
      <c r="B1824" s="2" t="str">
        <f t="shared" si="28"/>
        <v>sa-18-4</v>
      </c>
      <c r="C1824" t="s">
        <v>324</v>
      </c>
      <c r="D1824" t="s">
        <v>10</v>
      </c>
      <c r="E1824">
        <v>2</v>
      </c>
      <c r="F1824" s="6">
        <f>VLOOKUP(D1824,Products!A$2:C$101,3,FALSE)*E1824</f>
        <v>144</v>
      </c>
      <c r="G1824" t="s">
        <v>401</v>
      </c>
    </row>
    <row r="1825" spans="1:7" x14ac:dyDescent="0.25">
      <c r="A1825" s="3">
        <v>44501</v>
      </c>
      <c r="B1825" s="2" t="str">
        <f t="shared" si="28"/>
        <v>sa-1-11</v>
      </c>
      <c r="C1825" t="s">
        <v>337</v>
      </c>
      <c r="D1825" t="s">
        <v>43</v>
      </c>
      <c r="E1825">
        <v>3</v>
      </c>
      <c r="F1825" s="6">
        <f>VLOOKUP(D1825,Products!A$2:C$101,3,FALSE)*E1825</f>
        <v>99</v>
      </c>
      <c r="G1825" t="s">
        <v>396</v>
      </c>
    </row>
    <row r="1826" spans="1:7" x14ac:dyDescent="0.25">
      <c r="A1826" s="3">
        <v>44678</v>
      </c>
      <c r="B1826" s="2" t="str">
        <f t="shared" si="28"/>
        <v>sa-27-4</v>
      </c>
      <c r="C1826" t="s">
        <v>325</v>
      </c>
      <c r="D1826" t="s">
        <v>55</v>
      </c>
      <c r="E1826">
        <v>4</v>
      </c>
      <c r="F1826" s="6">
        <f>VLOOKUP(D1826,Products!A$2:C$101,3,FALSE)*E1826</f>
        <v>128</v>
      </c>
      <c r="G1826" t="s">
        <v>408</v>
      </c>
    </row>
    <row r="1827" spans="1:7" x14ac:dyDescent="0.25">
      <c r="A1827" s="3">
        <v>44081</v>
      </c>
      <c r="B1827" s="2" t="str">
        <f t="shared" si="28"/>
        <v>sa-7-9</v>
      </c>
      <c r="C1827" t="s">
        <v>329</v>
      </c>
      <c r="D1827" t="s">
        <v>22</v>
      </c>
      <c r="E1827">
        <v>4</v>
      </c>
      <c r="F1827" s="6">
        <f>VLOOKUP(D1827,Products!A$2:C$101,3,FALSE)*E1827</f>
        <v>136</v>
      </c>
      <c r="G1827" t="s">
        <v>396</v>
      </c>
    </row>
    <row r="1828" spans="1:7" x14ac:dyDescent="0.25">
      <c r="A1828" s="3">
        <v>44409</v>
      </c>
      <c r="B1828" s="2" t="str">
        <f t="shared" si="28"/>
        <v>sa-1-8</v>
      </c>
      <c r="C1828" t="s">
        <v>308</v>
      </c>
      <c r="D1828" t="s">
        <v>20</v>
      </c>
      <c r="E1828">
        <v>6</v>
      </c>
      <c r="F1828" s="6">
        <f>VLOOKUP(D1828,Products!A$2:C$101,3,FALSE)*E1828</f>
        <v>198</v>
      </c>
      <c r="G1828" t="s">
        <v>397</v>
      </c>
    </row>
    <row r="1829" spans="1:7" x14ac:dyDescent="0.25">
      <c r="A1829" s="3">
        <v>44180</v>
      </c>
      <c r="B1829" s="2" t="str">
        <f t="shared" si="28"/>
        <v>sa-15-12</v>
      </c>
      <c r="C1829" t="s">
        <v>308</v>
      </c>
      <c r="D1829" t="s">
        <v>51</v>
      </c>
      <c r="E1829">
        <v>5</v>
      </c>
      <c r="F1829" s="6">
        <f>VLOOKUP(D1829,Products!A$2:C$101,3,FALSE)*E1829</f>
        <v>155</v>
      </c>
      <c r="G1829" t="s">
        <v>396</v>
      </c>
    </row>
    <row r="1830" spans="1:7" x14ac:dyDescent="0.25">
      <c r="A1830" s="3">
        <v>44449</v>
      </c>
      <c r="B1830" s="2" t="str">
        <f t="shared" si="28"/>
        <v>sa-10-9</v>
      </c>
      <c r="C1830" t="s">
        <v>311</v>
      </c>
      <c r="D1830" t="s">
        <v>96</v>
      </c>
      <c r="E1830">
        <v>6</v>
      </c>
      <c r="F1830" s="6">
        <f>VLOOKUP(D1830,Products!A$2:C$101,3,FALSE)*E1830</f>
        <v>60</v>
      </c>
      <c r="G1830" t="s">
        <v>402</v>
      </c>
    </row>
    <row r="1831" spans="1:7" x14ac:dyDescent="0.25">
      <c r="A1831" s="3">
        <v>44717</v>
      </c>
      <c r="B1831" s="2" t="str">
        <f t="shared" si="28"/>
        <v>sa-5-6</v>
      </c>
      <c r="C1831" t="s">
        <v>337</v>
      </c>
      <c r="D1831" t="s">
        <v>57</v>
      </c>
      <c r="E1831">
        <v>6</v>
      </c>
      <c r="F1831" s="6">
        <f>VLOOKUP(D1831,Products!A$2:C$101,3,FALSE)*E1831</f>
        <v>210</v>
      </c>
      <c r="G1831" t="s">
        <v>408</v>
      </c>
    </row>
    <row r="1832" spans="1:7" x14ac:dyDescent="0.25">
      <c r="A1832" s="3">
        <v>44600</v>
      </c>
      <c r="B1832" s="2" t="str">
        <f t="shared" si="28"/>
        <v>sa-8-2</v>
      </c>
      <c r="C1832" t="s">
        <v>311</v>
      </c>
      <c r="D1832" t="s">
        <v>56</v>
      </c>
      <c r="E1832">
        <v>5</v>
      </c>
      <c r="F1832" s="6">
        <f>VLOOKUP(D1832,Products!A$2:C$101,3,FALSE)*E1832</f>
        <v>150</v>
      </c>
      <c r="G1832" t="s">
        <v>396</v>
      </c>
    </row>
    <row r="1833" spans="1:7" x14ac:dyDescent="0.25">
      <c r="A1833" s="3">
        <v>44159</v>
      </c>
      <c r="B1833" s="2" t="str">
        <f t="shared" si="28"/>
        <v>sa-24-11</v>
      </c>
      <c r="C1833" t="s">
        <v>352</v>
      </c>
      <c r="D1833" t="s">
        <v>71</v>
      </c>
      <c r="E1833">
        <v>2</v>
      </c>
      <c r="F1833" s="6">
        <f>VLOOKUP(D1833,Products!A$2:C$101,3,FALSE)*E1833</f>
        <v>68</v>
      </c>
      <c r="G1833" t="s">
        <v>401</v>
      </c>
    </row>
    <row r="1834" spans="1:7" x14ac:dyDescent="0.25">
      <c r="A1834" s="3">
        <v>44032</v>
      </c>
      <c r="B1834" s="2" t="str">
        <f t="shared" si="28"/>
        <v>sa-20-7</v>
      </c>
      <c r="C1834" t="s">
        <v>355</v>
      </c>
      <c r="D1834" t="s">
        <v>40</v>
      </c>
      <c r="E1834">
        <v>4</v>
      </c>
      <c r="F1834" s="6">
        <f>VLOOKUP(D1834,Products!A$2:C$101,3,FALSE)*E1834</f>
        <v>136</v>
      </c>
      <c r="G1834" t="s">
        <v>408</v>
      </c>
    </row>
    <row r="1835" spans="1:7" x14ac:dyDescent="0.25">
      <c r="A1835" s="3">
        <v>43957</v>
      </c>
      <c r="B1835" s="2" t="str">
        <f t="shared" si="28"/>
        <v>sa-6-5</v>
      </c>
      <c r="C1835" t="s">
        <v>353</v>
      </c>
      <c r="D1835" t="s">
        <v>15</v>
      </c>
      <c r="E1835">
        <v>5</v>
      </c>
      <c r="F1835" s="6">
        <f>VLOOKUP(D1835,Products!A$2:C$101,3,FALSE)*E1835</f>
        <v>175</v>
      </c>
      <c r="G1835" t="s">
        <v>405</v>
      </c>
    </row>
    <row r="1836" spans="1:7" x14ac:dyDescent="0.25">
      <c r="A1836" s="3">
        <v>44664</v>
      </c>
      <c r="B1836" s="2" t="str">
        <f t="shared" si="28"/>
        <v>sa-13-4</v>
      </c>
      <c r="C1836" t="s">
        <v>349</v>
      </c>
      <c r="D1836" t="s">
        <v>64</v>
      </c>
      <c r="E1836">
        <v>6</v>
      </c>
      <c r="F1836" s="6">
        <f>VLOOKUP(D1836,Products!A$2:C$101,3,FALSE)*E1836</f>
        <v>210</v>
      </c>
      <c r="G1836" t="s">
        <v>396</v>
      </c>
    </row>
    <row r="1837" spans="1:7" x14ac:dyDescent="0.25">
      <c r="A1837" s="3">
        <v>44738</v>
      </c>
      <c r="B1837" s="2" t="str">
        <f t="shared" si="28"/>
        <v>sa-26-6</v>
      </c>
      <c r="C1837" t="s">
        <v>328</v>
      </c>
      <c r="D1837" t="s">
        <v>65</v>
      </c>
      <c r="E1837">
        <v>4</v>
      </c>
      <c r="F1837" s="6">
        <f>VLOOKUP(D1837,Products!A$2:C$101,3,FALSE)*E1837</f>
        <v>128</v>
      </c>
      <c r="G1837" t="s">
        <v>399</v>
      </c>
    </row>
    <row r="1838" spans="1:7" x14ac:dyDescent="0.25">
      <c r="A1838" s="3">
        <v>44005</v>
      </c>
      <c r="B1838" s="2" t="str">
        <f t="shared" si="28"/>
        <v>sa-23-6</v>
      </c>
      <c r="C1838" t="s">
        <v>310</v>
      </c>
      <c r="D1838" t="s">
        <v>20</v>
      </c>
      <c r="E1838">
        <v>4</v>
      </c>
      <c r="F1838" s="6">
        <f>VLOOKUP(D1838,Products!A$2:C$101,3,FALSE)*E1838</f>
        <v>132</v>
      </c>
      <c r="G1838" t="s">
        <v>397</v>
      </c>
    </row>
    <row r="1839" spans="1:7" x14ac:dyDescent="0.25">
      <c r="A1839" s="3">
        <v>44180</v>
      </c>
      <c r="B1839" s="2" t="str">
        <f t="shared" si="28"/>
        <v>sa-15-12</v>
      </c>
      <c r="C1839" t="s">
        <v>323</v>
      </c>
      <c r="D1839" t="s">
        <v>86</v>
      </c>
      <c r="E1839">
        <v>6</v>
      </c>
      <c r="F1839" s="6">
        <f>VLOOKUP(D1839,Products!A$2:C$101,3,FALSE)*E1839</f>
        <v>204</v>
      </c>
      <c r="G1839" t="s">
        <v>402</v>
      </c>
    </row>
    <row r="1840" spans="1:7" x14ac:dyDescent="0.25">
      <c r="A1840" s="3">
        <v>44469</v>
      </c>
      <c r="B1840" s="2" t="str">
        <f t="shared" si="28"/>
        <v>sa-30-9</v>
      </c>
      <c r="C1840" t="s">
        <v>327</v>
      </c>
      <c r="D1840" t="s">
        <v>87</v>
      </c>
      <c r="E1840">
        <v>3</v>
      </c>
      <c r="F1840" s="6">
        <f>VLOOKUP(D1840,Products!A$2:C$101,3,FALSE)*E1840</f>
        <v>39</v>
      </c>
      <c r="G1840" t="s">
        <v>396</v>
      </c>
    </row>
    <row r="1841" spans="1:7" x14ac:dyDescent="0.25">
      <c r="A1841" s="3">
        <v>44359</v>
      </c>
      <c r="B1841" s="2" t="str">
        <f t="shared" si="28"/>
        <v>sa-12-6</v>
      </c>
      <c r="C1841" t="s">
        <v>321</v>
      </c>
      <c r="D1841" t="s">
        <v>5</v>
      </c>
      <c r="E1841">
        <v>5</v>
      </c>
      <c r="F1841" s="6">
        <f>VLOOKUP(D1841,Products!A$2:C$101,3,FALSE)*E1841</f>
        <v>400</v>
      </c>
      <c r="G1841" t="s">
        <v>406</v>
      </c>
    </row>
    <row r="1842" spans="1:7" x14ac:dyDescent="0.25">
      <c r="A1842" s="3">
        <v>44385</v>
      </c>
      <c r="B1842" s="2" t="str">
        <f t="shared" si="28"/>
        <v>sa-8-7</v>
      </c>
      <c r="C1842" t="s">
        <v>318</v>
      </c>
      <c r="D1842" t="s">
        <v>17</v>
      </c>
      <c r="E1842">
        <v>4</v>
      </c>
      <c r="F1842" s="6">
        <f>VLOOKUP(D1842,Products!A$2:C$101,3,FALSE)*E1842</f>
        <v>128</v>
      </c>
      <c r="G1842" t="s">
        <v>405</v>
      </c>
    </row>
    <row r="1843" spans="1:7" x14ac:dyDescent="0.25">
      <c r="A1843" s="3">
        <v>44475</v>
      </c>
      <c r="B1843" s="2" t="str">
        <f t="shared" si="28"/>
        <v>sa-6-10</v>
      </c>
      <c r="C1843" t="s">
        <v>332</v>
      </c>
      <c r="D1843" t="s">
        <v>63</v>
      </c>
      <c r="E1843">
        <v>4</v>
      </c>
      <c r="F1843" s="6">
        <f>VLOOKUP(D1843,Products!A$2:C$101,3,FALSE)*E1843</f>
        <v>132</v>
      </c>
      <c r="G1843" t="s">
        <v>405</v>
      </c>
    </row>
    <row r="1844" spans="1:7" x14ac:dyDescent="0.25">
      <c r="A1844" s="3">
        <v>44502</v>
      </c>
      <c r="B1844" s="2" t="str">
        <f t="shared" si="28"/>
        <v>sa-2-11</v>
      </c>
      <c r="C1844" t="s">
        <v>327</v>
      </c>
      <c r="D1844" t="s">
        <v>80</v>
      </c>
      <c r="E1844">
        <v>3</v>
      </c>
      <c r="F1844" s="6">
        <f>VLOOKUP(D1844,Products!A$2:C$101,3,FALSE)*E1844</f>
        <v>93</v>
      </c>
      <c r="G1844" t="s">
        <v>408</v>
      </c>
    </row>
    <row r="1845" spans="1:7" x14ac:dyDescent="0.25">
      <c r="A1845" s="3">
        <v>43938</v>
      </c>
      <c r="B1845" s="2" t="str">
        <f t="shared" si="28"/>
        <v>sa-17-4</v>
      </c>
      <c r="C1845" t="s">
        <v>333</v>
      </c>
      <c r="D1845" t="s">
        <v>19</v>
      </c>
      <c r="E1845">
        <v>5</v>
      </c>
      <c r="F1845" s="6">
        <f>VLOOKUP(D1845,Products!A$2:C$101,3,FALSE)*E1845</f>
        <v>165</v>
      </c>
      <c r="G1845" t="s">
        <v>402</v>
      </c>
    </row>
    <row r="1846" spans="1:7" x14ac:dyDescent="0.25">
      <c r="A1846" s="3">
        <v>44636</v>
      </c>
      <c r="B1846" s="2" t="str">
        <f t="shared" si="28"/>
        <v>sa-16-3</v>
      </c>
      <c r="C1846" t="s">
        <v>350</v>
      </c>
      <c r="D1846" t="s">
        <v>88</v>
      </c>
      <c r="E1846">
        <v>4</v>
      </c>
      <c r="F1846" s="6">
        <f>VLOOKUP(D1846,Products!A$2:C$101,3,FALSE)*E1846</f>
        <v>68</v>
      </c>
      <c r="G1846" t="s">
        <v>403</v>
      </c>
    </row>
    <row r="1847" spans="1:7" x14ac:dyDescent="0.25">
      <c r="A1847" s="3">
        <v>44090</v>
      </c>
      <c r="B1847" s="2" t="str">
        <f t="shared" si="28"/>
        <v>sa-16-9</v>
      </c>
      <c r="C1847" t="s">
        <v>319</v>
      </c>
      <c r="D1847" t="s">
        <v>75</v>
      </c>
      <c r="E1847">
        <v>3</v>
      </c>
      <c r="F1847" s="6">
        <f>VLOOKUP(D1847,Products!A$2:C$101,3,FALSE)*E1847</f>
        <v>102</v>
      </c>
      <c r="G1847" t="s">
        <v>397</v>
      </c>
    </row>
    <row r="1848" spans="1:7" x14ac:dyDescent="0.25">
      <c r="A1848" s="3">
        <v>44284</v>
      </c>
      <c r="B1848" s="2" t="str">
        <f t="shared" si="28"/>
        <v>sa-29-3</v>
      </c>
      <c r="C1848" t="s">
        <v>338</v>
      </c>
      <c r="D1848" t="s">
        <v>93</v>
      </c>
      <c r="E1848">
        <v>2</v>
      </c>
      <c r="F1848" s="6">
        <f>VLOOKUP(D1848,Products!A$2:C$101,3,FALSE)*E1848</f>
        <v>34</v>
      </c>
      <c r="G1848" t="s">
        <v>404</v>
      </c>
    </row>
    <row r="1849" spans="1:7" x14ac:dyDescent="0.25">
      <c r="A1849" s="3">
        <v>44364</v>
      </c>
      <c r="B1849" s="2" t="str">
        <f t="shared" si="28"/>
        <v>sa-17-6</v>
      </c>
      <c r="C1849" t="s">
        <v>323</v>
      </c>
      <c r="D1849" t="s">
        <v>3</v>
      </c>
      <c r="E1849">
        <v>2</v>
      </c>
      <c r="F1849" s="6">
        <f>VLOOKUP(D1849,Products!A$2:C$101,3,FALSE)*E1849</f>
        <v>148</v>
      </c>
      <c r="G1849" t="s">
        <v>401</v>
      </c>
    </row>
    <row r="1850" spans="1:7" x14ac:dyDescent="0.25">
      <c r="A1850" s="3">
        <v>44365</v>
      </c>
      <c r="B1850" s="2" t="str">
        <f t="shared" si="28"/>
        <v>sa-18-6</v>
      </c>
      <c r="C1850" t="s">
        <v>308</v>
      </c>
      <c r="D1850" t="s">
        <v>50</v>
      </c>
      <c r="E1850">
        <v>4</v>
      </c>
      <c r="F1850" s="6">
        <f>VLOOKUP(D1850,Products!A$2:C$101,3,FALSE)*E1850</f>
        <v>128</v>
      </c>
      <c r="G1850" t="s">
        <v>406</v>
      </c>
    </row>
    <row r="1851" spans="1:7" x14ac:dyDescent="0.25">
      <c r="A1851" s="3">
        <v>44405</v>
      </c>
      <c r="B1851" s="2" t="str">
        <f t="shared" si="28"/>
        <v>sa-28-7</v>
      </c>
      <c r="C1851" t="s">
        <v>317</v>
      </c>
      <c r="D1851" t="s">
        <v>28</v>
      </c>
      <c r="E1851">
        <v>4</v>
      </c>
      <c r="F1851" s="6">
        <f>VLOOKUP(D1851,Products!A$2:C$101,3,FALSE)*E1851</f>
        <v>120</v>
      </c>
      <c r="G1851" t="s">
        <v>400</v>
      </c>
    </row>
    <row r="1852" spans="1:7" x14ac:dyDescent="0.25">
      <c r="A1852" s="3">
        <v>44091</v>
      </c>
      <c r="B1852" s="2" t="str">
        <f t="shared" si="28"/>
        <v>sa-17-9</v>
      </c>
      <c r="C1852" t="s">
        <v>347</v>
      </c>
      <c r="D1852" t="s">
        <v>69</v>
      </c>
      <c r="E1852">
        <v>2</v>
      </c>
      <c r="F1852" s="6">
        <f>VLOOKUP(D1852,Products!A$2:C$101,3,FALSE)*E1852</f>
        <v>60</v>
      </c>
      <c r="G1852" t="s">
        <v>404</v>
      </c>
    </row>
    <row r="1853" spans="1:7" x14ac:dyDescent="0.25">
      <c r="A1853" s="3">
        <v>44222</v>
      </c>
      <c r="B1853" s="2" t="str">
        <f t="shared" si="28"/>
        <v>sa-26-1</v>
      </c>
      <c r="C1853" t="s">
        <v>325</v>
      </c>
      <c r="D1853" t="s">
        <v>38</v>
      </c>
      <c r="E1853">
        <v>2</v>
      </c>
      <c r="F1853" s="6">
        <f>VLOOKUP(D1853,Products!A$2:C$101,3,FALSE)*E1853</f>
        <v>64</v>
      </c>
      <c r="G1853" t="s">
        <v>397</v>
      </c>
    </row>
    <row r="1854" spans="1:7" x14ac:dyDescent="0.25">
      <c r="A1854" s="3">
        <v>44608</v>
      </c>
      <c r="B1854" s="2" t="str">
        <f t="shared" si="28"/>
        <v>sa-16-2</v>
      </c>
      <c r="C1854" t="s">
        <v>322</v>
      </c>
      <c r="D1854" t="s">
        <v>49</v>
      </c>
      <c r="E1854">
        <v>5</v>
      </c>
      <c r="F1854" s="6">
        <f>VLOOKUP(D1854,Products!A$2:C$101,3,FALSE)*E1854</f>
        <v>165</v>
      </c>
      <c r="G1854" t="s">
        <v>398</v>
      </c>
    </row>
    <row r="1855" spans="1:7" x14ac:dyDescent="0.25">
      <c r="A1855" s="3">
        <v>44141</v>
      </c>
      <c r="B1855" s="2" t="str">
        <f t="shared" si="28"/>
        <v>sa-6-11</v>
      </c>
      <c r="C1855" t="s">
        <v>342</v>
      </c>
      <c r="D1855" t="s">
        <v>49</v>
      </c>
      <c r="E1855">
        <v>4</v>
      </c>
      <c r="F1855" s="6">
        <f>VLOOKUP(D1855,Products!A$2:C$101,3,FALSE)*E1855</f>
        <v>132</v>
      </c>
      <c r="G1855" t="s">
        <v>402</v>
      </c>
    </row>
    <row r="1856" spans="1:7" x14ac:dyDescent="0.25">
      <c r="A1856" s="3">
        <v>44497</v>
      </c>
      <c r="B1856" s="2" t="str">
        <f t="shared" si="28"/>
        <v>sa-28-10</v>
      </c>
      <c r="C1856" t="s">
        <v>314</v>
      </c>
      <c r="D1856" t="s">
        <v>51</v>
      </c>
      <c r="E1856">
        <v>6</v>
      </c>
      <c r="F1856" s="6">
        <f>VLOOKUP(D1856,Products!A$2:C$101,3,FALSE)*E1856</f>
        <v>186</v>
      </c>
      <c r="G1856" t="s">
        <v>397</v>
      </c>
    </row>
    <row r="1857" spans="1:7" x14ac:dyDescent="0.25">
      <c r="A1857" s="3">
        <v>44516</v>
      </c>
      <c r="B1857" s="2" t="str">
        <f t="shared" si="28"/>
        <v>sa-16-11</v>
      </c>
      <c r="C1857" t="s">
        <v>340</v>
      </c>
      <c r="D1857" t="s">
        <v>49</v>
      </c>
      <c r="E1857">
        <v>2</v>
      </c>
      <c r="F1857" s="6">
        <f>VLOOKUP(D1857,Products!A$2:C$101,3,FALSE)*E1857</f>
        <v>66</v>
      </c>
      <c r="G1857" t="s">
        <v>402</v>
      </c>
    </row>
    <row r="1858" spans="1:7" x14ac:dyDescent="0.25">
      <c r="A1858" s="3">
        <v>44351</v>
      </c>
      <c r="B1858" s="2" t="str">
        <f t="shared" si="28"/>
        <v>sa-4-6</v>
      </c>
      <c r="C1858" t="s">
        <v>318</v>
      </c>
      <c r="D1858" t="s">
        <v>73</v>
      </c>
      <c r="E1858">
        <v>3</v>
      </c>
      <c r="F1858" s="6">
        <f>VLOOKUP(D1858,Products!A$2:C$101,3,FALSE)*E1858</f>
        <v>105</v>
      </c>
      <c r="G1858" t="s">
        <v>408</v>
      </c>
    </row>
    <row r="1859" spans="1:7" x14ac:dyDescent="0.25">
      <c r="A1859" s="3">
        <v>44110</v>
      </c>
      <c r="B1859" s="2" t="str">
        <f t="shared" ref="B1859:B1922" si="29">"sa-"&amp;DAY(A1859)&amp;"-"&amp;MONTH(A1859)</f>
        <v>sa-6-10</v>
      </c>
      <c r="C1859" t="s">
        <v>326</v>
      </c>
      <c r="D1859" t="s">
        <v>64</v>
      </c>
      <c r="E1859">
        <v>2</v>
      </c>
      <c r="F1859" s="6">
        <f>VLOOKUP(D1859,Products!A$2:C$101,3,FALSE)*E1859</f>
        <v>70</v>
      </c>
      <c r="G1859" t="s">
        <v>395</v>
      </c>
    </row>
    <row r="1860" spans="1:7" x14ac:dyDescent="0.25">
      <c r="A1860" s="3">
        <v>44323</v>
      </c>
      <c r="B1860" s="2" t="str">
        <f t="shared" si="29"/>
        <v>sa-7-5</v>
      </c>
      <c r="C1860" t="s">
        <v>342</v>
      </c>
      <c r="D1860" t="s">
        <v>46</v>
      </c>
      <c r="E1860">
        <v>3</v>
      </c>
      <c r="F1860" s="6">
        <f>VLOOKUP(D1860,Products!A$2:C$101,3,FALSE)*E1860</f>
        <v>90</v>
      </c>
      <c r="G1860" t="s">
        <v>402</v>
      </c>
    </row>
    <row r="1861" spans="1:7" x14ac:dyDescent="0.25">
      <c r="A1861" s="3">
        <v>43972</v>
      </c>
      <c r="B1861" s="2" t="str">
        <f t="shared" si="29"/>
        <v>sa-21-5</v>
      </c>
      <c r="C1861" t="s">
        <v>315</v>
      </c>
      <c r="D1861" t="s">
        <v>67</v>
      </c>
      <c r="E1861">
        <v>4</v>
      </c>
      <c r="F1861" s="6">
        <f>VLOOKUP(D1861,Products!A$2:C$101,3,FALSE)*E1861</f>
        <v>128</v>
      </c>
      <c r="G1861" t="s">
        <v>398</v>
      </c>
    </row>
    <row r="1862" spans="1:7" x14ac:dyDescent="0.25">
      <c r="A1862" s="3">
        <v>43950</v>
      </c>
      <c r="B1862" s="2" t="str">
        <f t="shared" si="29"/>
        <v>sa-29-4</v>
      </c>
      <c r="C1862" t="s">
        <v>353</v>
      </c>
      <c r="D1862" t="s">
        <v>85</v>
      </c>
      <c r="E1862">
        <v>3</v>
      </c>
      <c r="F1862" s="6">
        <f>VLOOKUP(D1862,Products!A$2:C$101,3,FALSE)*E1862</f>
        <v>99</v>
      </c>
      <c r="G1862" t="s">
        <v>397</v>
      </c>
    </row>
    <row r="1863" spans="1:7" x14ac:dyDescent="0.25">
      <c r="A1863" s="3">
        <v>43959</v>
      </c>
      <c r="B1863" s="2" t="str">
        <f t="shared" si="29"/>
        <v>sa-8-5</v>
      </c>
      <c r="C1863" t="s">
        <v>307</v>
      </c>
      <c r="D1863" t="s">
        <v>76</v>
      </c>
      <c r="E1863">
        <v>3</v>
      </c>
      <c r="F1863" s="6">
        <f>VLOOKUP(D1863,Products!A$2:C$101,3,FALSE)*E1863</f>
        <v>102</v>
      </c>
      <c r="G1863" t="s">
        <v>402</v>
      </c>
    </row>
    <row r="1864" spans="1:7" x14ac:dyDescent="0.25">
      <c r="A1864" s="3">
        <v>44592</v>
      </c>
      <c r="B1864" s="2" t="str">
        <f t="shared" si="29"/>
        <v>sa-31-1</v>
      </c>
      <c r="C1864" t="s">
        <v>327</v>
      </c>
      <c r="D1864" t="s">
        <v>64</v>
      </c>
      <c r="E1864">
        <v>3</v>
      </c>
      <c r="F1864" s="6">
        <f>VLOOKUP(D1864,Products!A$2:C$101,3,FALSE)*E1864</f>
        <v>105</v>
      </c>
      <c r="G1864" t="s">
        <v>401</v>
      </c>
    </row>
    <row r="1865" spans="1:7" x14ac:dyDescent="0.25">
      <c r="A1865" s="3">
        <v>44621</v>
      </c>
      <c r="B1865" s="2" t="str">
        <f t="shared" si="29"/>
        <v>sa-1-3</v>
      </c>
      <c r="C1865" t="s">
        <v>320</v>
      </c>
      <c r="D1865" t="s">
        <v>49</v>
      </c>
      <c r="E1865">
        <v>2</v>
      </c>
      <c r="F1865" s="6">
        <f>VLOOKUP(D1865,Products!A$2:C$101,3,FALSE)*E1865</f>
        <v>66</v>
      </c>
      <c r="G1865" t="s">
        <v>401</v>
      </c>
    </row>
    <row r="1866" spans="1:7" x14ac:dyDescent="0.25">
      <c r="A1866" s="3">
        <v>44204</v>
      </c>
      <c r="B1866" s="2" t="str">
        <f t="shared" si="29"/>
        <v>sa-8-1</v>
      </c>
      <c r="C1866" t="s">
        <v>344</v>
      </c>
      <c r="D1866" t="s">
        <v>89</v>
      </c>
      <c r="E1866">
        <v>5</v>
      </c>
      <c r="F1866" s="6">
        <f>VLOOKUP(D1866,Products!A$2:C$101,3,FALSE)*E1866</f>
        <v>100</v>
      </c>
      <c r="G1866" t="s">
        <v>405</v>
      </c>
    </row>
    <row r="1867" spans="1:7" x14ac:dyDescent="0.25">
      <c r="A1867" s="3">
        <v>44593</v>
      </c>
      <c r="B1867" s="2" t="str">
        <f t="shared" si="29"/>
        <v>sa-1-2</v>
      </c>
      <c r="C1867" t="s">
        <v>327</v>
      </c>
      <c r="D1867" t="s">
        <v>24</v>
      </c>
      <c r="E1867">
        <v>3</v>
      </c>
      <c r="F1867" s="6">
        <f>VLOOKUP(D1867,Products!A$2:C$101,3,FALSE)*E1867</f>
        <v>99</v>
      </c>
      <c r="G1867" t="s">
        <v>397</v>
      </c>
    </row>
    <row r="1868" spans="1:7" x14ac:dyDescent="0.25">
      <c r="A1868" s="3">
        <v>44099</v>
      </c>
      <c r="B1868" s="2" t="str">
        <f t="shared" si="29"/>
        <v>sa-25-9</v>
      </c>
      <c r="C1868" t="s">
        <v>344</v>
      </c>
      <c r="D1868" t="s">
        <v>101</v>
      </c>
      <c r="E1868">
        <v>5</v>
      </c>
      <c r="F1868" s="6">
        <f>VLOOKUP(D1868,Products!A$2:C$101,3,FALSE)*E1868</f>
        <v>50</v>
      </c>
      <c r="G1868" t="s">
        <v>402</v>
      </c>
    </row>
    <row r="1869" spans="1:7" x14ac:dyDescent="0.25">
      <c r="A1869" s="3">
        <v>44463</v>
      </c>
      <c r="B1869" s="2" t="str">
        <f t="shared" si="29"/>
        <v>sa-24-9</v>
      </c>
      <c r="C1869" t="s">
        <v>347</v>
      </c>
      <c r="D1869" t="s">
        <v>74</v>
      </c>
      <c r="E1869">
        <v>5</v>
      </c>
      <c r="F1869" s="6">
        <f>VLOOKUP(D1869,Products!A$2:C$101,3,FALSE)*E1869</f>
        <v>170</v>
      </c>
      <c r="G1869" t="s">
        <v>399</v>
      </c>
    </row>
    <row r="1870" spans="1:7" x14ac:dyDescent="0.25">
      <c r="A1870" s="3">
        <v>44677</v>
      </c>
      <c r="B1870" s="2" t="str">
        <f t="shared" si="29"/>
        <v>sa-26-4</v>
      </c>
      <c r="C1870" t="s">
        <v>328</v>
      </c>
      <c r="D1870" t="s">
        <v>26</v>
      </c>
      <c r="E1870">
        <v>4</v>
      </c>
      <c r="F1870" s="6">
        <f>VLOOKUP(D1870,Products!A$2:C$101,3,FALSE)*E1870</f>
        <v>132</v>
      </c>
      <c r="G1870" t="s">
        <v>406</v>
      </c>
    </row>
    <row r="1871" spans="1:7" x14ac:dyDescent="0.25">
      <c r="A1871" s="3">
        <v>43888</v>
      </c>
      <c r="B1871" s="2" t="str">
        <f t="shared" si="29"/>
        <v>sa-27-2</v>
      </c>
      <c r="C1871" t="s">
        <v>307</v>
      </c>
      <c r="D1871" t="s">
        <v>52</v>
      </c>
      <c r="E1871">
        <v>4</v>
      </c>
      <c r="F1871" s="6">
        <f>VLOOKUP(D1871,Products!A$2:C$101,3,FALSE)*E1871</f>
        <v>132</v>
      </c>
      <c r="G1871" t="s">
        <v>396</v>
      </c>
    </row>
    <row r="1872" spans="1:7" x14ac:dyDescent="0.25">
      <c r="A1872" s="3">
        <v>44524</v>
      </c>
      <c r="B1872" s="2" t="str">
        <f t="shared" si="29"/>
        <v>sa-24-11</v>
      </c>
      <c r="C1872" t="s">
        <v>346</v>
      </c>
      <c r="D1872" t="s">
        <v>89</v>
      </c>
      <c r="E1872">
        <v>4</v>
      </c>
      <c r="F1872" s="6">
        <f>VLOOKUP(D1872,Products!A$2:C$101,3,FALSE)*E1872</f>
        <v>80</v>
      </c>
      <c r="G1872" t="s">
        <v>405</v>
      </c>
    </row>
    <row r="1873" spans="1:7" x14ac:dyDescent="0.25">
      <c r="A1873" s="3">
        <v>44280</v>
      </c>
      <c r="B1873" s="2" t="str">
        <f t="shared" si="29"/>
        <v>sa-25-3</v>
      </c>
      <c r="C1873" t="s">
        <v>334</v>
      </c>
      <c r="D1873" t="s">
        <v>76</v>
      </c>
      <c r="E1873">
        <v>4</v>
      </c>
      <c r="F1873" s="6">
        <f>VLOOKUP(D1873,Products!A$2:C$101,3,FALSE)*E1873</f>
        <v>136</v>
      </c>
      <c r="G1873" t="s">
        <v>407</v>
      </c>
    </row>
    <row r="1874" spans="1:7" x14ac:dyDescent="0.25">
      <c r="A1874" s="3">
        <v>43986</v>
      </c>
      <c r="B1874" s="2" t="str">
        <f t="shared" si="29"/>
        <v>sa-4-6</v>
      </c>
      <c r="C1874" t="s">
        <v>332</v>
      </c>
      <c r="D1874" t="s">
        <v>43</v>
      </c>
      <c r="E1874">
        <v>2</v>
      </c>
      <c r="F1874" s="6">
        <f>VLOOKUP(D1874,Products!A$2:C$101,3,FALSE)*E1874</f>
        <v>66</v>
      </c>
      <c r="G1874" t="s">
        <v>402</v>
      </c>
    </row>
    <row r="1875" spans="1:7" x14ac:dyDescent="0.25">
      <c r="A1875" s="3">
        <v>43902</v>
      </c>
      <c r="B1875" s="2" t="str">
        <f t="shared" si="29"/>
        <v>sa-12-3</v>
      </c>
      <c r="C1875" t="s">
        <v>333</v>
      </c>
      <c r="D1875" t="s">
        <v>87</v>
      </c>
      <c r="E1875">
        <v>4</v>
      </c>
      <c r="F1875" s="6">
        <f>VLOOKUP(D1875,Products!A$2:C$101,3,FALSE)*E1875</f>
        <v>52</v>
      </c>
      <c r="G1875" t="s">
        <v>404</v>
      </c>
    </row>
    <row r="1876" spans="1:7" x14ac:dyDescent="0.25">
      <c r="A1876" s="3">
        <v>44530</v>
      </c>
      <c r="B1876" s="2" t="str">
        <f t="shared" si="29"/>
        <v>sa-30-11</v>
      </c>
      <c r="C1876" t="s">
        <v>334</v>
      </c>
      <c r="D1876" t="s">
        <v>88</v>
      </c>
      <c r="E1876">
        <v>4</v>
      </c>
      <c r="F1876" s="6">
        <f>VLOOKUP(D1876,Products!A$2:C$101,3,FALSE)*E1876</f>
        <v>68</v>
      </c>
      <c r="G1876" t="s">
        <v>402</v>
      </c>
    </row>
    <row r="1877" spans="1:7" x14ac:dyDescent="0.25">
      <c r="A1877" s="3">
        <v>44702</v>
      </c>
      <c r="B1877" s="2" t="str">
        <f t="shared" si="29"/>
        <v>sa-21-5</v>
      </c>
      <c r="C1877" t="s">
        <v>351</v>
      </c>
      <c r="D1877" t="s">
        <v>31</v>
      </c>
      <c r="E1877">
        <v>4</v>
      </c>
      <c r="F1877" s="6">
        <f>VLOOKUP(D1877,Products!A$2:C$101,3,FALSE)*E1877</f>
        <v>128</v>
      </c>
      <c r="G1877" t="s">
        <v>395</v>
      </c>
    </row>
    <row r="1878" spans="1:7" x14ac:dyDescent="0.25">
      <c r="A1878" s="3">
        <v>44705</v>
      </c>
      <c r="B1878" s="2" t="str">
        <f t="shared" si="29"/>
        <v>sa-24-5</v>
      </c>
      <c r="C1878" t="s">
        <v>315</v>
      </c>
      <c r="D1878" t="s">
        <v>50</v>
      </c>
      <c r="E1878">
        <v>5</v>
      </c>
      <c r="F1878" s="6">
        <f>VLOOKUP(D1878,Products!A$2:C$101,3,FALSE)*E1878</f>
        <v>160</v>
      </c>
      <c r="G1878" t="s">
        <v>400</v>
      </c>
    </row>
    <row r="1879" spans="1:7" x14ac:dyDescent="0.25">
      <c r="A1879" s="3">
        <v>44239</v>
      </c>
      <c r="B1879" s="2" t="str">
        <f t="shared" si="29"/>
        <v>sa-12-2</v>
      </c>
      <c r="C1879" t="s">
        <v>315</v>
      </c>
      <c r="D1879" t="s">
        <v>14</v>
      </c>
      <c r="E1879">
        <v>4</v>
      </c>
      <c r="F1879" s="6">
        <f>VLOOKUP(D1879,Products!A$2:C$101,3,FALSE)*E1879</f>
        <v>316</v>
      </c>
      <c r="G1879" t="s">
        <v>406</v>
      </c>
    </row>
    <row r="1880" spans="1:7" x14ac:dyDescent="0.25">
      <c r="A1880" s="3">
        <v>44012</v>
      </c>
      <c r="B1880" s="2" t="str">
        <f t="shared" si="29"/>
        <v>sa-30-6</v>
      </c>
      <c r="C1880" t="s">
        <v>309</v>
      </c>
      <c r="D1880" t="s">
        <v>45</v>
      </c>
      <c r="E1880">
        <v>3</v>
      </c>
      <c r="F1880" s="6">
        <f>VLOOKUP(D1880,Products!A$2:C$101,3,FALSE)*E1880</f>
        <v>90</v>
      </c>
      <c r="G1880" t="s">
        <v>404</v>
      </c>
    </row>
    <row r="1881" spans="1:7" x14ac:dyDescent="0.25">
      <c r="A1881" s="3">
        <v>43936</v>
      </c>
      <c r="B1881" s="2" t="str">
        <f t="shared" si="29"/>
        <v>sa-15-4</v>
      </c>
      <c r="C1881" t="s">
        <v>317</v>
      </c>
      <c r="D1881" t="s">
        <v>15</v>
      </c>
      <c r="E1881">
        <v>5</v>
      </c>
      <c r="F1881" s="6">
        <f>VLOOKUP(D1881,Products!A$2:C$101,3,FALSE)*E1881</f>
        <v>175</v>
      </c>
      <c r="G1881" t="s">
        <v>402</v>
      </c>
    </row>
    <row r="1882" spans="1:7" x14ac:dyDescent="0.25">
      <c r="A1882" s="3">
        <v>44414</v>
      </c>
      <c r="B1882" s="2" t="str">
        <f t="shared" si="29"/>
        <v>sa-6-8</v>
      </c>
      <c r="C1882" t="s">
        <v>340</v>
      </c>
      <c r="D1882" t="s">
        <v>66</v>
      </c>
      <c r="E1882">
        <v>3</v>
      </c>
      <c r="F1882" s="6">
        <f>VLOOKUP(D1882,Products!A$2:C$101,3,FALSE)*E1882</f>
        <v>90</v>
      </c>
      <c r="G1882" t="s">
        <v>396</v>
      </c>
    </row>
    <row r="1883" spans="1:7" x14ac:dyDescent="0.25">
      <c r="A1883" s="3">
        <v>44282</v>
      </c>
      <c r="B1883" s="2" t="str">
        <f t="shared" si="29"/>
        <v>sa-27-3</v>
      </c>
      <c r="C1883" t="s">
        <v>318</v>
      </c>
      <c r="D1883" t="s">
        <v>63</v>
      </c>
      <c r="E1883">
        <v>6</v>
      </c>
      <c r="F1883" s="6">
        <f>VLOOKUP(D1883,Products!A$2:C$101,3,FALSE)*E1883</f>
        <v>198</v>
      </c>
      <c r="G1883" t="s">
        <v>405</v>
      </c>
    </row>
    <row r="1884" spans="1:7" x14ac:dyDescent="0.25">
      <c r="A1884" s="3">
        <v>44313</v>
      </c>
      <c r="B1884" s="2" t="str">
        <f t="shared" si="29"/>
        <v>sa-27-4</v>
      </c>
      <c r="C1884" t="s">
        <v>334</v>
      </c>
      <c r="D1884" t="s">
        <v>43</v>
      </c>
      <c r="E1884">
        <v>2</v>
      </c>
      <c r="F1884" s="6">
        <f>VLOOKUP(D1884,Products!A$2:C$101,3,FALSE)*E1884</f>
        <v>66</v>
      </c>
      <c r="G1884" t="s">
        <v>403</v>
      </c>
    </row>
    <row r="1885" spans="1:7" x14ac:dyDescent="0.25">
      <c r="A1885" s="3">
        <v>44214</v>
      </c>
      <c r="B1885" s="2" t="str">
        <f t="shared" si="29"/>
        <v>sa-18-1</v>
      </c>
      <c r="C1885" t="s">
        <v>345</v>
      </c>
      <c r="D1885" t="s">
        <v>37</v>
      </c>
      <c r="E1885">
        <v>4</v>
      </c>
      <c r="F1885" s="6">
        <f>VLOOKUP(D1885,Products!A$2:C$101,3,FALSE)*E1885</f>
        <v>132</v>
      </c>
      <c r="G1885" t="s">
        <v>398</v>
      </c>
    </row>
    <row r="1886" spans="1:7" x14ac:dyDescent="0.25">
      <c r="A1886" s="3">
        <v>43863</v>
      </c>
      <c r="B1886" s="2" t="str">
        <f t="shared" si="29"/>
        <v>sa-2-2</v>
      </c>
      <c r="C1886" t="s">
        <v>309</v>
      </c>
      <c r="D1886" t="s">
        <v>53</v>
      </c>
      <c r="E1886">
        <v>5</v>
      </c>
      <c r="F1886" s="6">
        <f>VLOOKUP(D1886,Products!A$2:C$101,3,FALSE)*E1886</f>
        <v>160</v>
      </c>
      <c r="G1886" t="s">
        <v>395</v>
      </c>
    </row>
    <row r="1887" spans="1:7" x14ac:dyDescent="0.25">
      <c r="A1887" s="3">
        <v>44256</v>
      </c>
      <c r="B1887" s="2" t="str">
        <f t="shared" si="29"/>
        <v>sa-1-3</v>
      </c>
      <c r="C1887" t="s">
        <v>349</v>
      </c>
      <c r="D1887" t="s">
        <v>78</v>
      </c>
      <c r="E1887">
        <v>5</v>
      </c>
      <c r="F1887" s="6">
        <f>VLOOKUP(D1887,Products!A$2:C$101,3,FALSE)*E1887</f>
        <v>170</v>
      </c>
      <c r="G1887" t="s">
        <v>397</v>
      </c>
    </row>
    <row r="1888" spans="1:7" x14ac:dyDescent="0.25">
      <c r="A1888" s="3">
        <v>44685</v>
      </c>
      <c r="B1888" s="2" t="str">
        <f t="shared" si="29"/>
        <v>sa-4-5</v>
      </c>
      <c r="C1888" t="s">
        <v>355</v>
      </c>
      <c r="D1888" t="s">
        <v>79</v>
      </c>
      <c r="E1888">
        <v>4</v>
      </c>
      <c r="F1888" s="6">
        <f>VLOOKUP(D1888,Products!A$2:C$101,3,FALSE)*E1888</f>
        <v>136</v>
      </c>
      <c r="G1888" t="s">
        <v>408</v>
      </c>
    </row>
    <row r="1889" spans="1:7" x14ac:dyDescent="0.25">
      <c r="A1889" s="3">
        <v>44041</v>
      </c>
      <c r="B1889" s="2" t="str">
        <f t="shared" si="29"/>
        <v>sa-29-7</v>
      </c>
      <c r="C1889" t="s">
        <v>321</v>
      </c>
      <c r="D1889" t="s">
        <v>31</v>
      </c>
      <c r="E1889">
        <v>4</v>
      </c>
      <c r="F1889" s="6">
        <f>VLOOKUP(D1889,Products!A$2:C$101,3,FALSE)*E1889</f>
        <v>128</v>
      </c>
      <c r="G1889" t="s">
        <v>402</v>
      </c>
    </row>
    <row r="1890" spans="1:7" x14ac:dyDescent="0.25">
      <c r="A1890" s="3">
        <v>44596</v>
      </c>
      <c r="B1890" s="2" t="str">
        <f t="shared" si="29"/>
        <v>sa-4-2</v>
      </c>
      <c r="C1890" t="s">
        <v>322</v>
      </c>
      <c r="D1890" t="s">
        <v>92</v>
      </c>
      <c r="E1890">
        <v>3</v>
      </c>
      <c r="F1890" s="6">
        <f>VLOOKUP(D1890,Products!A$2:C$101,3,FALSE)*E1890</f>
        <v>42</v>
      </c>
      <c r="G1890" t="s">
        <v>405</v>
      </c>
    </row>
    <row r="1891" spans="1:7" x14ac:dyDescent="0.25">
      <c r="A1891" s="3">
        <v>44156</v>
      </c>
      <c r="B1891" s="2" t="str">
        <f t="shared" si="29"/>
        <v>sa-21-11</v>
      </c>
      <c r="C1891" t="s">
        <v>342</v>
      </c>
      <c r="D1891" t="s">
        <v>29</v>
      </c>
      <c r="E1891">
        <v>4</v>
      </c>
      <c r="F1891" s="6">
        <f>VLOOKUP(D1891,Products!A$2:C$101,3,FALSE)*E1891</f>
        <v>124</v>
      </c>
      <c r="G1891" t="s">
        <v>406</v>
      </c>
    </row>
    <row r="1892" spans="1:7" x14ac:dyDescent="0.25">
      <c r="A1892" s="3">
        <v>44705</v>
      </c>
      <c r="B1892" s="2" t="str">
        <f t="shared" si="29"/>
        <v>sa-24-5</v>
      </c>
      <c r="C1892" t="s">
        <v>326</v>
      </c>
      <c r="D1892" t="s">
        <v>77</v>
      </c>
      <c r="E1892">
        <v>5</v>
      </c>
      <c r="F1892" s="6">
        <f>VLOOKUP(D1892,Products!A$2:C$101,3,FALSE)*E1892</f>
        <v>170</v>
      </c>
      <c r="G1892" t="s">
        <v>395</v>
      </c>
    </row>
    <row r="1893" spans="1:7" x14ac:dyDescent="0.25">
      <c r="A1893" s="3">
        <v>44548</v>
      </c>
      <c r="B1893" s="2" t="str">
        <f t="shared" si="29"/>
        <v>sa-18-12</v>
      </c>
      <c r="C1893" t="s">
        <v>325</v>
      </c>
      <c r="D1893" t="s">
        <v>93</v>
      </c>
      <c r="E1893">
        <v>4</v>
      </c>
      <c r="F1893" s="6">
        <f>VLOOKUP(D1893,Products!A$2:C$101,3,FALSE)*E1893</f>
        <v>68</v>
      </c>
      <c r="G1893" t="s">
        <v>408</v>
      </c>
    </row>
    <row r="1894" spans="1:7" x14ac:dyDescent="0.25">
      <c r="A1894" s="3">
        <v>43902</v>
      </c>
      <c r="B1894" s="2" t="str">
        <f t="shared" si="29"/>
        <v>sa-12-3</v>
      </c>
      <c r="C1894" t="s">
        <v>321</v>
      </c>
      <c r="D1894" t="s">
        <v>53</v>
      </c>
      <c r="E1894">
        <v>6</v>
      </c>
      <c r="F1894" s="6">
        <f>VLOOKUP(D1894,Products!A$2:C$101,3,FALSE)*E1894</f>
        <v>192</v>
      </c>
      <c r="G1894" t="s">
        <v>397</v>
      </c>
    </row>
    <row r="1895" spans="1:7" x14ac:dyDescent="0.25">
      <c r="A1895" s="3">
        <v>44339</v>
      </c>
      <c r="B1895" s="2" t="str">
        <f t="shared" si="29"/>
        <v>sa-23-5</v>
      </c>
      <c r="C1895" t="s">
        <v>329</v>
      </c>
      <c r="D1895" t="s">
        <v>31</v>
      </c>
      <c r="E1895">
        <v>2</v>
      </c>
      <c r="F1895" s="6">
        <f>VLOOKUP(D1895,Products!A$2:C$101,3,FALSE)*E1895</f>
        <v>64</v>
      </c>
      <c r="G1895" t="s">
        <v>403</v>
      </c>
    </row>
    <row r="1896" spans="1:7" x14ac:dyDescent="0.25">
      <c r="A1896" s="3">
        <v>44094</v>
      </c>
      <c r="B1896" s="2" t="str">
        <f t="shared" si="29"/>
        <v>sa-20-9</v>
      </c>
      <c r="C1896" t="s">
        <v>347</v>
      </c>
      <c r="D1896" t="s">
        <v>28</v>
      </c>
      <c r="E1896">
        <v>3</v>
      </c>
      <c r="F1896" s="6">
        <f>VLOOKUP(D1896,Products!A$2:C$101,3,FALSE)*E1896</f>
        <v>90</v>
      </c>
      <c r="G1896" t="s">
        <v>404</v>
      </c>
    </row>
    <row r="1897" spans="1:7" x14ac:dyDescent="0.25">
      <c r="A1897" s="3">
        <v>44587</v>
      </c>
      <c r="B1897" s="2" t="str">
        <f t="shared" si="29"/>
        <v>sa-26-1</v>
      </c>
      <c r="C1897" t="s">
        <v>324</v>
      </c>
      <c r="D1897" t="s">
        <v>51</v>
      </c>
      <c r="E1897">
        <v>2</v>
      </c>
      <c r="F1897" s="6">
        <f>VLOOKUP(D1897,Products!A$2:C$101,3,FALSE)*E1897</f>
        <v>62</v>
      </c>
      <c r="G1897" t="s">
        <v>398</v>
      </c>
    </row>
    <row r="1898" spans="1:7" x14ac:dyDescent="0.25">
      <c r="A1898" s="3">
        <v>44273</v>
      </c>
      <c r="B1898" s="2" t="str">
        <f t="shared" si="29"/>
        <v>sa-18-3</v>
      </c>
      <c r="C1898" t="s">
        <v>354</v>
      </c>
      <c r="D1898" t="s">
        <v>5</v>
      </c>
      <c r="E1898">
        <v>5</v>
      </c>
      <c r="F1898" s="6">
        <f>VLOOKUP(D1898,Products!A$2:C$101,3,FALSE)*E1898</f>
        <v>400</v>
      </c>
      <c r="G1898" t="s">
        <v>398</v>
      </c>
    </row>
    <row r="1899" spans="1:7" x14ac:dyDescent="0.25">
      <c r="A1899" s="3">
        <v>44479</v>
      </c>
      <c r="B1899" s="2" t="str">
        <f t="shared" si="29"/>
        <v>sa-10-10</v>
      </c>
      <c r="C1899" t="s">
        <v>325</v>
      </c>
      <c r="D1899" t="s">
        <v>17</v>
      </c>
      <c r="E1899">
        <v>5</v>
      </c>
      <c r="F1899" s="6">
        <f>VLOOKUP(D1899,Products!A$2:C$101,3,FALSE)*E1899</f>
        <v>160</v>
      </c>
      <c r="G1899" t="s">
        <v>404</v>
      </c>
    </row>
    <row r="1900" spans="1:7" x14ac:dyDescent="0.25">
      <c r="A1900" s="3">
        <v>44361</v>
      </c>
      <c r="B1900" s="2" t="str">
        <f t="shared" si="29"/>
        <v>sa-14-6</v>
      </c>
      <c r="C1900" t="s">
        <v>333</v>
      </c>
      <c r="D1900" t="s">
        <v>32</v>
      </c>
      <c r="E1900">
        <v>5</v>
      </c>
      <c r="F1900" s="6">
        <f>VLOOKUP(D1900,Products!A$2:C$101,3,FALSE)*E1900</f>
        <v>170</v>
      </c>
      <c r="G1900" t="s">
        <v>406</v>
      </c>
    </row>
    <row r="1901" spans="1:7" x14ac:dyDescent="0.25">
      <c r="A1901" s="3">
        <v>43986</v>
      </c>
      <c r="B1901" s="2" t="str">
        <f t="shared" si="29"/>
        <v>sa-4-6</v>
      </c>
      <c r="C1901" t="s">
        <v>338</v>
      </c>
      <c r="D1901" t="s">
        <v>21</v>
      </c>
      <c r="E1901">
        <v>6</v>
      </c>
      <c r="F1901" s="6">
        <f>VLOOKUP(D1901,Products!A$2:C$101,3,FALSE)*E1901</f>
        <v>198</v>
      </c>
      <c r="G1901" t="s">
        <v>408</v>
      </c>
    </row>
    <row r="1902" spans="1:7" x14ac:dyDescent="0.25">
      <c r="A1902" s="3">
        <v>44223</v>
      </c>
      <c r="B1902" s="2" t="str">
        <f t="shared" si="29"/>
        <v>sa-27-1</v>
      </c>
      <c r="C1902" t="s">
        <v>336</v>
      </c>
      <c r="D1902" t="s">
        <v>31</v>
      </c>
      <c r="E1902">
        <v>4</v>
      </c>
      <c r="F1902" s="6">
        <f>VLOOKUP(D1902,Products!A$2:C$101,3,FALSE)*E1902</f>
        <v>128</v>
      </c>
      <c r="G1902" t="s">
        <v>397</v>
      </c>
    </row>
    <row r="1903" spans="1:7" x14ac:dyDescent="0.25">
      <c r="A1903" s="3">
        <v>44582</v>
      </c>
      <c r="B1903" s="2" t="str">
        <f t="shared" si="29"/>
        <v>sa-21-1</v>
      </c>
      <c r="C1903" t="s">
        <v>343</v>
      </c>
      <c r="D1903" t="s">
        <v>60</v>
      </c>
      <c r="E1903">
        <v>6</v>
      </c>
      <c r="F1903" s="6">
        <f>VLOOKUP(D1903,Products!A$2:C$101,3,FALSE)*E1903</f>
        <v>180</v>
      </c>
      <c r="G1903" t="s">
        <v>406</v>
      </c>
    </row>
    <row r="1904" spans="1:7" x14ac:dyDescent="0.25">
      <c r="A1904" s="3">
        <v>43989</v>
      </c>
      <c r="B1904" s="2" t="str">
        <f t="shared" si="29"/>
        <v>sa-7-6</v>
      </c>
      <c r="C1904" t="s">
        <v>307</v>
      </c>
      <c r="D1904" t="s">
        <v>23</v>
      </c>
      <c r="E1904">
        <v>2</v>
      </c>
      <c r="F1904" s="6">
        <f>VLOOKUP(D1904,Products!A$2:C$101,3,FALSE)*E1904</f>
        <v>62</v>
      </c>
      <c r="G1904" t="s">
        <v>405</v>
      </c>
    </row>
    <row r="1905" spans="1:7" x14ac:dyDescent="0.25">
      <c r="A1905" s="3">
        <v>43832</v>
      </c>
      <c r="B1905" s="2" t="str">
        <f t="shared" si="29"/>
        <v>sa-2-1</v>
      </c>
      <c r="C1905" t="s">
        <v>315</v>
      </c>
      <c r="D1905" t="s">
        <v>79</v>
      </c>
      <c r="E1905">
        <v>6</v>
      </c>
      <c r="F1905" s="6">
        <f>VLOOKUP(D1905,Products!A$2:C$101,3,FALSE)*E1905</f>
        <v>204</v>
      </c>
      <c r="G1905" t="s">
        <v>405</v>
      </c>
    </row>
    <row r="1906" spans="1:7" x14ac:dyDescent="0.25">
      <c r="A1906" s="3">
        <v>44369</v>
      </c>
      <c r="B1906" s="2" t="str">
        <f t="shared" si="29"/>
        <v>sa-22-6</v>
      </c>
      <c r="C1906" t="s">
        <v>343</v>
      </c>
      <c r="D1906" t="s">
        <v>12</v>
      </c>
      <c r="E1906">
        <v>6</v>
      </c>
      <c r="F1906" s="6">
        <f>VLOOKUP(D1906,Products!A$2:C$101,3,FALSE)*E1906</f>
        <v>444</v>
      </c>
      <c r="G1906" t="s">
        <v>396</v>
      </c>
    </row>
    <row r="1907" spans="1:7" x14ac:dyDescent="0.25">
      <c r="A1907" s="3">
        <v>43924</v>
      </c>
      <c r="B1907" s="2" t="str">
        <f t="shared" si="29"/>
        <v>sa-3-4</v>
      </c>
      <c r="C1907" t="s">
        <v>347</v>
      </c>
      <c r="D1907" t="s">
        <v>21</v>
      </c>
      <c r="E1907">
        <v>2</v>
      </c>
      <c r="F1907" s="6">
        <f>VLOOKUP(D1907,Products!A$2:C$101,3,FALSE)*E1907</f>
        <v>66</v>
      </c>
      <c r="G1907" t="s">
        <v>402</v>
      </c>
    </row>
    <row r="1908" spans="1:7" x14ac:dyDescent="0.25">
      <c r="A1908" s="3">
        <v>44144</v>
      </c>
      <c r="B1908" s="2" t="str">
        <f t="shared" si="29"/>
        <v>sa-9-11</v>
      </c>
      <c r="C1908" t="s">
        <v>321</v>
      </c>
      <c r="D1908" t="s">
        <v>52</v>
      </c>
      <c r="E1908">
        <v>3</v>
      </c>
      <c r="F1908" s="6">
        <f>VLOOKUP(D1908,Products!A$2:C$101,3,FALSE)*E1908</f>
        <v>99</v>
      </c>
      <c r="G1908" t="s">
        <v>406</v>
      </c>
    </row>
    <row r="1909" spans="1:7" x14ac:dyDescent="0.25">
      <c r="A1909" s="3">
        <v>44372</v>
      </c>
      <c r="B1909" s="2" t="str">
        <f t="shared" si="29"/>
        <v>sa-25-6</v>
      </c>
      <c r="C1909" t="s">
        <v>337</v>
      </c>
      <c r="D1909" t="s">
        <v>91</v>
      </c>
      <c r="E1909">
        <v>5</v>
      </c>
      <c r="F1909" s="6">
        <f>VLOOKUP(D1909,Products!A$2:C$101,3,FALSE)*E1909</f>
        <v>85</v>
      </c>
      <c r="G1909" t="s">
        <v>407</v>
      </c>
    </row>
    <row r="1910" spans="1:7" x14ac:dyDescent="0.25">
      <c r="A1910" s="3">
        <v>44680</v>
      </c>
      <c r="B1910" s="2" t="str">
        <f t="shared" si="29"/>
        <v>sa-29-4</v>
      </c>
      <c r="C1910" t="s">
        <v>348</v>
      </c>
      <c r="D1910" t="s">
        <v>48</v>
      </c>
      <c r="E1910">
        <v>2</v>
      </c>
      <c r="F1910" s="6">
        <f>VLOOKUP(D1910,Products!A$2:C$101,3,FALSE)*E1910</f>
        <v>66</v>
      </c>
      <c r="G1910" t="s">
        <v>402</v>
      </c>
    </row>
    <row r="1911" spans="1:7" x14ac:dyDescent="0.25">
      <c r="A1911" s="3">
        <v>43894</v>
      </c>
      <c r="B1911" s="2" t="str">
        <f t="shared" si="29"/>
        <v>sa-4-3</v>
      </c>
      <c r="C1911" t="s">
        <v>311</v>
      </c>
      <c r="D1911" t="s">
        <v>4</v>
      </c>
      <c r="E1911">
        <v>6</v>
      </c>
      <c r="F1911" s="6">
        <f>VLOOKUP(D1911,Products!A$2:C$101,3,FALSE)*E1911</f>
        <v>426</v>
      </c>
      <c r="G1911" t="s">
        <v>400</v>
      </c>
    </row>
    <row r="1912" spans="1:7" x14ac:dyDescent="0.25">
      <c r="A1912" s="3">
        <v>44630</v>
      </c>
      <c r="B1912" s="2" t="str">
        <f t="shared" si="29"/>
        <v>sa-10-3</v>
      </c>
      <c r="C1912" t="s">
        <v>326</v>
      </c>
      <c r="D1912" t="s">
        <v>50</v>
      </c>
      <c r="E1912">
        <v>5</v>
      </c>
      <c r="F1912" s="6">
        <f>VLOOKUP(D1912,Products!A$2:C$101,3,FALSE)*E1912</f>
        <v>160</v>
      </c>
      <c r="G1912" t="s">
        <v>395</v>
      </c>
    </row>
    <row r="1913" spans="1:7" x14ac:dyDescent="0.25">
      <c r="A1913" s="3">
        <v>44474</v>
      </c>
      <c r="B1913" s="2" t="str">
        <f t="shared" si="29"/>
        <v>sa-5-10</v>
      </c>
      <c r="C1913" t="s">
        <v>348</v>
      </c>
      <c r="D1913" t="s">
        <v>96</v>
      </c>
      <c r="E1913">
        <v>2</v>
      </c>
      <c r="F1913" s="6">
        <f>VLOOKUP(D1913,Products!A$2:C$101,3,FALSE)*E1913</f>
        <v>20</v>
      </c>
      <c r="G1913" t="s">
        <v>403</v>
      </c>
    </row>
    <row r="1914" spans="1:7" x14ac:dyDescent="0.25">
      <c r="A1914" s="3">
        <v>44085</v>
      </c>
      <c r="B1914" s="2" t="str">
        <f t="shared" si="29"/>
        <v>sa-11-9</v>
      </c>
      <c r="C1914" t="s">
        <v>328</v>
      </c>
      <c r="D1914" t="s">
        <v>46</v>
      </c>
      <c r="E1914">
        <v>2</v>
      </c>
      <c r="F1914" s="6">
        <f>VLOOKUP(D1914,Products!A$2:C$101,3,FALSE)*E1914</f>
        <v>60</v>
      </c>
      <c r="G1914" t="s">
        <v>405</v>
      </c>
    </row>
    <row r="1915" spans="1:7" x14ac:dyDescent="0.25">
      <c r="A1915" s="3">
        <v>44570</v>
      </c>
      <c r="B1915" s="2" t="str">
        <f t="shared" si="29"/>
        <v>sa-9-1</v>
      </c>
      <c r="C1915" t="s">
        <v>326</v>
      </c>
      <c r="D1915" t="s">
        <v>10</v>
      </c>
      <c r="E1915">
        <v>6</v>
      </c>
      <c r="F1915" s="6">
        <f>VLOOKUP(D1915,Products!A$2:C$101,3,FALSE)*E1915</f>
        <v>432</v>
      </c>
      <c r="G1915" t="s">
        <v>407</v>
      </c>
    </row>
    <row r="1916" spans="1:7" x14ac:dyDescent="0.25">
      <c r="A1916" s="3">
        <v>44554</v>
      </c>
      <c r="B1916" s="2" t="str">
        <f t="shared" si="29"/>
        <v>sa-24-12</v>
      </c>
      <c r="C1916" t="s">
        <v>312</v>
      </c>
      <c r="D1916" t="s">
        <v>49</v>
      </c>
      <c r="E1916">
        <v>5</v>
      </c>
      <c r="F1916" s="6">
        <f>VLOOKUP(D1916,Products!A$2:C$101,3,FALSE)*E1916</f>
        <v>165</v>
      </c>
      <c r="G1916" t="s">
        <v>405</v>
      </c>
    </row>
    <row r="1917" spans="1:7" x14ac:dyDescent="0.25">
      <c r="A1917" s="3">
        <v>44687</v>
      </c>
      <c r="B1917" s="2" t="str">
        <f t="shared" si="29"/>
        <v>sa-6-5</v>
      </c>
      <c r="C1917" t="s">
        <v>339</v>
      </c>
      <c r="D1917" t="s">
        <v>58</v>
      </c>
      <c r="E1917">
        <v>4</v>
      </c>
      <c r="F1917" s="6">
        <f>VLOOKUP(D1917,Products!A$2:C$101,3,FALSE)*E1917</f>
        <v>140</v>
      </c>
      <c r="G1917" t="s">
        <v>407</v>
      </c>
    </row>
    <row r="1918" spans="1:7" x14ac:dyDescent="0.25">
      <c r="A1918" s="3">
        <v>43898</v>
      </c>
      <c r="B1918" s="2" t="str">
        <f t="shared" si="29"/>
        <v>sa-8-3</v>
      </c>
      <c r="C1918" t="s">
        <v>316</v>
      </c>
      <c r="D1918" t="s">
        <v>84</v>
      </c>
      <c r="E1918">
        <v>2</v>
      </c>
      <c r="F1918" s="6">
        <f>VLOOKUP(D1918,Products!A$2:C$101,3,FALSE)*E1918</f>
        <v>70</v>
      </c>
      <c r="G1918" t="s">
        <v>395</v>
      </c>
    </row>
    <row r="1919" spans="1:7" x14ac:dyDescent="0.25">
      <c r="A1919" s="3">
        <v>43883</v>
      </c>
      <c r="B1919" s="2" t="str">
        <f t="shared" si="29"/>
        <v>sa-22-2</v>
      </c>
      <c r="C1919" t="s">
        <v>351</v>
      </c>
      <c r="D1919" t="s">
        <v>65</v>
      </c>
      <c r="E1919">
        <v>2</v>
      </c>
      <c r="F1919" s="6">
        <f>VLOOKUP(D1919,Products!A$2:C$101,3,FALSE)*E1919</f>
        <v>64</v>
      </c>
      <c r="G1919" t="s">
        <v>395</v>
      </c>
    </row>
    <row r="1920" spans="1:7" x14ac:dyDescent="0.25">
      <c r="A1920" s="3">
        <v>44487</v>
      </c>
      <c r="B1920" s="2" t="str">
        <f t="shared" si="29"/>
        <v>sa-18-10</v>
      </c>
      <c r="C1920" t="s">
        <v>340</v>
      </c>
      <c r="D1920" t="s">
        <v>83</v>
      </c>
      <c r="E1920">
        <v>3</v>
      </c>
      <c r="F1920" s="6">
        <f>VLOOKUP(D1920,Products!A$2:C$101,3,FALSE)*E1920</f>
        <v>90</v>
      </c>
      <c r="G1920" t="s">
        <v>408</v>
      </c>
    </row>
    <row r="1921" spans="1:7" x14ac:dyDescent="0.25">
      <c r="A1921" s="3">
        <v>44498</v>
      </c>
      <c r="B1921" s="2" t="str">
        <f t="shared" si="29"/>
        <v>sa-29-10</v>
      </c>
      <c r="C1921" t="s">
        <v>335</v>
      </c>
      <c r="D1921" t="s">
        <v>35</v>
      </c>
      <c r="E1921">
        <v>5</v>
      </c>
      <c r="F1921" s="6">
        <f>VLOOKUP(D1921,Products!A$2:C$101,3,FALSE)*E1921</f>
        <v>150</v>
      </c>
      <c r="G1921" t="s">
        <v>405</v>
      </c>
    </row>
    <row r="1922" spans="1:7" x14ac:dyDescent="0.25">
      <c r="A1922" s="3">
        <v>44453</v>
      </c>
      <c r="B1922" s="2" t="str">
        <f t="shared" si="29"/>
        <v>sa-14-9</v>
      </c>
      <c r="C1922" t="s">
        <v>334</v>
      </c>
      <c r="D1922" t="s">
        <v>55</v>
      </c>
      <c r="E1922">
        <v>3</v>
      </c>
      <c r="F1922" s="6">
        <f>VLOOKUP(D1922,Products!A$2:C$101,3,FALSE)*E1922</f>
        <v>96</v>
      </c>
      <c r="G1922" t="s">
        <v>396</v>
      </c>
    </row>
    <row r="1923" spans="1:7" x14ac:dyDescent="0.25">
      <c r="A1923" s="3">
        <v>44040</v>
      </c>
      <c r="B1923" s="2" t="str">
        <f t="shared" ref="B1923:B1986" si="30">"sa-"&amp;DAY(A1923)&amp;"-"&amp;MONTH(A1923)</f>
        <v>sa-28-7</v>
      </c>
      <c r="C1923" t="s">
        <v>312</v>
      </c>
      <c r="D1923" t="s">
        <v>79</v>
      </c>
      <c r="E1923">
        <v>4</v>
      </c>
      <c r="F1923" s="6">
        <f>VLOOKUP(D1923,Products!A$2:C$101,3,FALSE)*E1923</f>
        <v>136</v>
      </c>
      <c r="G1923" t="s">
        <v>401</v>
      </c>
    </row>
    <row r="1924" spans="1:7" x14ac:dyDescent="0.25">
      <c r="A1924" s="3">
        <v>44352</v>
      </c>
      <c r="B1924" s="2" t="str">
        <f t="shared" si="30"/>
        <v>sa-5-6</v>
      </c>
      <c r="C1924" t="s">
        <v>312</v>
      </c>
      <c r="D1924" t="s">
        <v>89</v>
      </c>
      <c r="E1924">
        <v>2</v>
      </c>
      <c r="F1924" s="6">
        <f>VLOOKUP(D1924,Products!A$2:C$101,3,FALSE)*E1924</f>
        <v>40</v>
      </c>
      <c r="G1924" t="s">
        <v>399</v>
      </c>
    </row>
    <row r="1925" spans="1:7" x14ac:dyDescent="0.25">
      <c r="A1925" s="3">
        <v>44163</v>
      </c>
      <c r="B1925" s="2" t="str">
        <f t="shared" si="30"/>
        <v>sa-28-11</v>
      </c>
      <c r="C1925" t="s">
        <v>339</v>
      </c>
      <c r="D1925" t="s">
        <v>70</v>
      </c>
      <c r="E1925">
        <v>5</v>
      </c>
      <c r="F1925" s="6">
        <f>VLOOKUP(D1925,Products!A$2:C$101,3,FALSE)*E1925</f>
        <v>175</v>
      </c>
      <c r="G1925" t="s">
        <v>403</v>
      </c>
    </row>
    <row r="1926" spans="1:7" x14ac:dyDescent="0.25">
      <c r="A1926" s="3">
        <v>44112</v>
      </c>
      <c r="B1926" s="2" t="str">
        <f t="shared" si="30"/>
        <v>sa-8-10</v>
      </c>
      <c r="C1926" t="s">
        <v>317</v>
      </c>
      <c r="D1926" t="s">
        <v>30</v>
      </c>
      <c r="E1926">
        <v>4</v>
      </c>
      <c r="F1926" s="6">
        <f>VLOOKUP(D1926,Products!A$2:C$101,3,FALSE)*E1926</f>
        <v>140</v>
      </c>
      <c r="G1926" t="s">
        <v>401</v>
      </c>
    </row>
    <row r="1927" spans="1:7" x14ac:dyDescent="0.25">
      <c r="A1927" s="3">
        <v>44545</v>
      </c>
      <c r="B1927" s="2" t="str">
        <f t="shared" si="30"/>
        <v>sa-15-12</v>
      </c>
      <c r="C1927" t="s">
        <v>334</v>
      </c>
      <c r="D1927" t="s">
        <v>67</v>
      </c>
      <c r="E1927">
        <v>3</v>
      </c>
      <c r="F1927" s="6">
        <f>VLOOKUP(D1927,Products!A$2:C$101,3,FALSE)*E1927</f>
        <v>96</v>
      </c>
      <c r="G1927" t="s">
        <v>403</v>
      </c>
    </row>
    <row r="1928" spans="1:7" x14ac:dyDescent="0.25">
      <c r="A1928" s="3">
        <v>43946</v>
      </c>
      <c r="B1928" s="2" t="str">
        <f t="shared" si="30"/>
        <v>sa-25-4</v>
      </c>
      <c r="C1928" t="s">
        <v>332</v>
      </c>
      <c r="D1928" t="s">
        <v>81</v>
      </c>
      <c r="E1928">
        <v>2</v>
      </c>
      <c r="F1928" s="6">
        <f>VLOOKUP(D1928,Products!A$2:C$101,3,FALSE)*E1928</f>
        <v>64</v>
      </c>
      <c r="G1928" t="s">
        <v>405</v>
      </c>
    </row>
    <row r="1929" spans="1:7" x14ac:dyDescent="0.25">
      <c r="A1929" s="3">
        <v>44392</v>
      </c>
      <c r="B1929" s="2" t="str">
        <f t="shared" si="30"/>
        <v>sa-15-7</v>
      </c>
      <c r="C1929" t="s">
        <v>309</v>
      </c>
      <c r="D1929" t="s">
        <v>60</v>
      </c>
      <c r="E1929">
        <v>6</v>
      </c>
      <c r="F1929" s="6">
        <f>VLOOKUP(D1929,Products!A$2:C$101,3,FALSE)*E1929</f>
        <v>180</v>
      </c>
      <c r="G1929" t="s">
        <v>400</v>
      </c>
    </row>
    <row r="1930" spans="1:7" x14ac:dyDescent="0.25">
      <c r="A1930" s="3">
        <v>43998</v>
      </c>
      <c r="B1930" s="2" t="str">
        <f t="shared" si="30"/>
        <v>sa-16-6</v>
      </c>
      <c r="C1930" t="s">
        <v>315</v>
      </c>
      <c r="D1930" t="s">
        <v>35</v>
      </c>
      <c r="E1930">
        <v>5</v>
      </c>
      <c r="F1930" s="6">
        <f>VLOOKUP(D1930,Products!A$2:C$101,3,FALSE)*E1930</f>
        <v>150</v>
      </c>
      <c r="G1930" t="s">
        <v>398</v>
      </c>
    </row>
    <row r="1931" spans="1:7" x14ac:dyDescent="0.25">
      <c r="A1931" s="3">
        <v>44057</v>
      </c>
      <c r="B1931" s="2" t="str">
        <f t="shared" si="30"/>
        <v>sa-14-8</v>
      </c>
      <c r="C1931" t="s">
        <v>315</v>
      </c>
      <c r="D1931" t="s">
        <v>71</v>
      </c>
      <c r="E1931">
        <v>3</v>
      </c>
      <c r="F1931" s="6">
        <f>VLOOKUP(D1931,Products!A$2:C$101,3,FALSE)*E1931</f>
        <v>102</v>
      </c>
      <c r="G1931" t="s">
        <v>406</v>
      </c>
    </row>
    <row r="1932" spans="1:7" x14ac:dyDescent="0.25">
      <c r="A1932" s="3">
        <v>44379</v>
      </c>
      <c r="B1932" s="2" t="str">
        <f t="shared" si="30"/>
        <v>sa-2-7</v>
      </c>
      <c r="C1932" t="s">
        <v>311</v>
      </c>
      <c r="D1932" t="s">
        <v>56</v>
      </c>
      <c r="E1932">
        <v>5</v>
      </c>
      <c r="F1932" s="6">
        <f>VLOOKUP(D1932,Products!A$2:C$101,3,FALSE)*E1932</f>
        <v>150</v>
      </c>
      <c r="G1932" t="s">
        <v>402</v>
      </c>
    </row>
    <row r="1933" spans="1:7" x14ac:dyDescent="0.25">
      <c r="A1933" s="3">
        <v>44720</v>
      </c>
      <c r="B1933" s="2" t="str">
        <f t="shared" si="30"/>
        <v>sa-8-6</v>
      </c>
      <c r="C1933" t="s">
        <v>327</v>
      </c>
      <c r="D1933" t="s">
        <v>45</v>
      </c>
      <c r="E1933">
        <v>4</v>
      </c>
      <c r="F1933" s="6">
        <f>VLOOKUP(D1933,Products!A$2:C$101,3,FALSE)*E1933</f>
        <v>120</v>
      </c>
      <c r="G1933" t="s">
        <v>399</v>
      </c>
    </row>
    <row r="1934" spans="1:7" x14ac:dyDescent="0.25">
      <c r="A1934" s="3">
        <v>44311</v>
      </c>
      <c r="B1934" s="2" t="str">
        <f t="shared" si="30"/>
        <v>sa-25-4</v>
      </c>
      <c r="C1934" t="s">
        <v>329</v>
      </c>
      <c r="D1934" t="s">
        <v>38</v>
      </c>
      <c r="E1934">
        <v>4</v>
      </c>
      <c r="F1934" s="6">
        <f>VLOOKUP(D1934,Products!A$2:C$101,3,FALSE)*E1934</f>
        <v>128</v>
      </c>
      <c r="G1934" t="s">
        <v>395</v>
      </c>
    </row>
    <row r="1935" spans="1:7" x14ac:dyDescent="0.25">
      <c r="A1935" s="3">
        <v>44169</v>
      </c>
      <c r="B1935" s="2" t="str">
        <f t="shared" si="30"/>
        <v>sa-4-12</v>
      </c>
      <c r="C1935" t="s">
        <v>348</v>
      </c>
      <c r="D1935" t="s">
        <v>80</v>
      </c>
      <c r="E1935">
        <v>5</v>
      </c>
      <c r="F1935" s="6">
        <f>VLOOKUP(D1935,Products!A$2:C$101,3,FALSE)*E1935</f>
        <v>155</v>
      </c>
      <c r="G1935" t="s">
        <v>395</v>
      </c>
    </row>
    <row r="1936" spans="1:7" x14ac:dyDescent="0.25">
      <c r="A1936" s="3">
        <v>43880</v>
      </c>
      <c r="B1936" s="2" t="str">
        <f t="shared" si="30"/>
        <v>sa-19-2</v>
      </c>
      <c r="C1936" t="s">
        <v>349</v>
      </c>
      <c r="D1936" t="s">
        <v>10</v>
      </c>
      <c r="E1936">
        <v>6</v>
      </c>
      <c r="F1936" s="6">
        <f>VLOOKUP(D1936,Products!A$2:C$101,3,FALSE)*E1936</f>
        <v>432</v>
      </c>
      <c r="G1936" t="s">
        <v>401</v>
      </c>
    </row>
    <row r="1937" spans="1:7" x14ac:dyDescent="0.25">
      <c r="A1937" s="3">
        <v>44616</v>
      </c>
      <c r="B1937" s="2" t="str">
        <f t="shared" si="30"/>
        <v>sa-24-2</v>
      </c>
      <c r="C1937" t="s">
        <v>309</v>
      </c>
      <c r="D1937" t="s">
        <v>85</v>
      </c>
      <c r="E1937">
        <v>6</v>
      </c>
      <c r="F1937" s="6">
        <f>VLOOKUP(D1937,Products!A$2:C$101,3,FALSE)*E1937</f>
        <v>198</v>
      </c>
      <c r="G1937" t="s">
        <v>397</v>
      </c>
    </row>
    <row r="1938" spans="1:7" x14ac:dyDescent="0.25">
      <c r="A1938" s="3">
        <v>44266</v>
      </c>
      <c r="B1938" s="2" t="str">
        <f t="shared" si="30"/>
        <v>sa-11-3</v>
      </c>
      <c r="C1938" t="s">
        <v>319</v>
      </c>
      <c r="D1938" t="s">
        <v>8</v>
      </c>
      <c r="E1938">
        <v>2</v>
      </c>
      <c r="F1938" s="6">
        <f>VLOOKUP(D1938,Products!A$2:C$101,3,FALSE)*E1938</f>
        <v>126</v>
      </c>
      <c r="G1938" t="s">
        <v>401</v>
      </c>
    </row>
    <row r="1939" spans="1:7" x14ac:dyDescent="0.25">
      <c r="A1939" s="3">
        <v>44564</v>
      </c>
      <c r="B1939" s="2" t="str">
        <f t="shared" si="30"/>
        <v>sa-3-1</v>
      </c>
      <c r="C1939" t="s">
        <v>347</v>
      </c>
      <c r="D1939" t="s">
        <v>47</v>
      </c>
      <c r="E1939">
        <v>5</v>
      </c>
      <c r="F1939" s="6">
        <f>VLOOKUP(D1939,Products!A$2:C$101,3,FALSE)*E1939</f>
        <v>160</v>
      </c>
      <c r="G1939" t="s">
        <v>395</v>
      </c>
    </row>
    <row r="1940" spans="1:7" x14ac:dyDescent="0.25">
      <c r="A1940" s="3">
        <v>44242</v>
      </c>
      <c r="B1940" s="2" t="str">
        <f t="shared" si="30"/>
        <v>sa-15-2</v>
      </c>
      <c r="C1940" t="s">
        <v>328</v>
      </c>
      <c r="D1940" t="s">
        <v>79</v>
      </c>
      <c r="E1940">
        <v>6</v>
      </c>
      <c r="F1940" s="6">
        <f>VLOOKUP(D1940,Products!A$2:C$101,3,FALSE)*E1940</f>
        <v>204</v>
      </c>
      <c r="G1940" t="s">
        <v>401</v>
      </c>
    </row>
    <row r="1941" spans="1:7" x14ac:dyDescent="0.25">
      <c r="A1941" s="3">
        <v>44704</v>
      </c>
      <c r="B1941" s="2" t="str">
        <f t="shared" si="30"/>
        <v>sa-23-5</v>
      </c>
      <c r="C1941" t="s">
        <v>322</v>
      </c>
      <c r="D1941" t="s">
        <v>91</v>
      </c>
      <c r="E1941">
        <v>6</v>
      </c>
      <c r="F1941" s="6">
        <f>VLOOKUP(D1941,Products!A$2:C$101,3,FALSE)*E1941</f>
        <v>102</v>
      </c>
      <c r="G1941" t="s">
        <v>401</v>
      </c>
    </row>
    <row r="1942" spans="1:7" x14ac:dyDescent="0.25">
      <c r="A1942" s="3">
        <v>44723</v>
      </c>
      <c r="B1942" s="2" t="str">
        <f t="shared" si="30"/>
        <v>sa-11-6</v>
      </c>
      <c r="C1942" t="s">
        <v>345</v>
      </c>
      <c r="D1942" t="s">
        <v>91</v>
      </c>
      <c r="E1942">
        <v>6</v>
      </c>
      <c r="F1942" s="6">
        <f>VLOOKUP(D1942,Products!A$2:C$101,3,FALSE)*E1942</f>
        <v>102</v>
      </c>
      <c r="G1942" t="s">
        <v>406</v>
      </c>
    </row>
    <row r="1943" spans="1:7" x14ac:dyDescent="0.25">
      <c r="A1943" s="3">
        <v>44628</v>
      </c>
      <c r="B1943" s="2" t="str">
        <f t="shared" si="30"/>
        <v>sa-8-3</v>
      </c>
      <c r="C1943" t="s">
        <v>346</v>
      </c>
      <c r="D1943" t="s">
        <v>71</v>
      </c>
      <c r="E1943">
        <v>3</v>
      </c>
      <c r="F1943" s="6">
        <f>VLOOKUP(D1943,Products!A$2:C$101,3,FALSE)*E1943</f>
        <v>102</v>
      </c>
      <c r="G1943" t="s">
        <v>404</v>
      </c>
    </row>
    <row r="1944" spans="1:7" x14ac:dyDescent="0.25">
      <c r="A1944" s="3">
        <v>44049</v>
      </c>
      <c r="B1944" s="2" t="str">
        <f t="shared" si="30"/>
        <v>sa-6-8</v>
      </c>
      <c r="C1944" t="s">
        <v>352</v>
      </c>
      <c r="D1944" t="s">
        <v>88</v>
      </c>
      <c r="E1944">
        <v>4</v>
      </c>
      <c r="F1944" s="6">
        <f>VLOOKUP(D1944,Products!A$2:C$101,3,FALSE)*E1944</f>
        <v>68</v>
      </c>
      <c r="G1944" t="s">
        <v>408</v>
      </c>
    </row>
    <row r="1945" spans="1:7" x14ac:dyDescent="0.25">
      <c r="A1945" s="3">
        <v>44126</v>
      </c>
      <c r="B1945" s="2" t="str">
        <f t="shared" si="30"/>
        <v>sa-22-10</v>
      </c>
      <c r="C1945" t="s">
        <v>348</v>
      </c>
      <c r="D1945" t="s">
        <v>33</v>
      </c>
      <c r="E1945">
        <v>2</v>
      </c>
      <c r="F1945" s="6">
        <f>VLOOKUP(D1945,Products!A$2:C$101,3,FALSE)*E1945</f>
        <v>66</v>
      </c>
      <c r="G1945" t="s">
        <v>407</v>
      </c>
    </row>
    <row r="1946" spans="1:7" x14ac:dyDescent="0.25">
      <c r="A1946" s="3">
        <v>44645</v>
      </c>
      <c r="B1946" s="2" t="str">
        <f t="shared" si="30"/>
        <v>sa-25-3</v>
      </c>
      <c r="C1946" t="s">
        <v>331</v>
      </c>
      <c r="D1946" t="s">
        <v>93</v>
      </c>
      <c r="E1946">
        <v>3</v>
      </c>
      <c r="F1946" s="6">
        <f>VLOOKUP(D1946,Products!A$2:C$101,3,FALSE)*E1946</f>
        <v>51</v>
      </c>
      <c r="G1946" t="s">
        <v>408</v>
      </c>
    </row>
    <row r="1947" spans="1:7" x14ac:dyDescent="0.25">
      <c r="A1947" s="3">
        <v>43836</v>
      </c>
      <c r="B1947" s="2" t="str">
        <f t="shared" si="30"/>
        <v>sa-6-1</v>
      </c>
      <c r="C1947" t="s">
        <v>332</v>
      </c>
      <c r="D1947" t="s">
        <v>33</v>
      </c>
      <c r="E1947">
        <v>6</v>
      </c>
      <c r="F1947" s="6">
        <f>VLOOKUP(D1947,Products!A$2:C$101,3,FALSE)*E1947</f>
        <v>198</v>
      </c>
      <c r="G1947" t="s">
        <v>408</v>
      </c>
    </row>
    <row r="1948" spans="1:7" x14ac:dyDescent="0.25">
      <c r="A1948" s="3">
        <v>44190</v>
      </c>
      <c r="B1948" s="2" t="str">
        <f t="shared" si="30"/>
        <v>sa-25-12</v>
      </c>
      <c r="C1948" t="s">
        <v>348</v>
      </c>
      <c r="D1948" t="s">
        <v>85</v>
      </c>
      <c r="E1948">
        <v>3</v>
      </c>
      <c r="F1948" s="6">
        <f>VLOOKUP(D1948,Products!A$2:C$101,3,FALSE)*E1948</f>
        <v>99</v>
      </c>
      <c r="G1948" t="s">
        <v>406</v>
      </c>
    </row>
    <row r="1949" spans="1:7" x14ac:dyDescent="0.25">
      <c r="A1949" s="3">
        <v>44255</v>
      </c>
      <c r="B1949" s="2" t="str">
        <f t="shared" si="30"/>
        <v>sa-28-2</v>
      </c>
      <c r="C1949" t="s">
        <v>329</v>
      </c>
      <c r="D1949" t="s">
        <v>47</v>
      </c>
      <c r="E1949">
        <v>3</v>
      </c>
      <c r="F1949" s="6">
        <f>VLOOKUP(D1949,Products!A$2:C$101,3,FALSE)*E1949</f>
        <v>96</v>
      </c>
      <c r="G1949" t="s">
        <v>402</v>
      </c>
    </row>
    <row r="1950" spans="1:7" x14ac:dyDescent="0.25">
      <c r="A1950" s="3">
        <v>44371</v>
      </c>
      <c r="B1950" s="2" t="str">
        <f t="shared" si="30"/>
        <v>sa-24-6</v>
      </c>
      <c r="C1950" t="s">
        <v>316</v>
      </c>
      <c r="D1950" t="s">
        <v>60</v>
      </c>
      <c r="E1950">
        <v>4</v>
      </c>
      <c r="F1950" s="6">
        <f>VLOOKUP(D1950,Products!A$2:C$101,3,FALSE)*E1950</f>
        <v>120</v>
      </c>
      <c r="G1950" t="s">
        <v>399</v>
      </c>
    </row>
    <row r="1951" spans="1:7" x14ac:dyDescent="0.25">
      <c r="A1951" s="3">
        <v>44709</v>
      </c>
      <c r="B1951" s="2" t="str">
        <f t="shared" si="30"/>
        <v>sa-28-5</v>
      </c>
      <c r="C1951" t="s">
        <v>316</v>
      </c>
      <c r="D1951" t="s">
        <v>100</v>
      </c>
      <c r="E1951">
        <v>6</v>
      </c>
      <c r="F1951" s="6">
        <f>VLOOKUP(D1951,Products!A$2:C$101,3,FALSE)*E1951</f>
        <v>90</v>
      </c>
      <c r="G1951" t="s">
        <v>395</v>
      </c>
    </row>
    <row r="1952" spans="1:7" x14ac:dyDescent="0.25">
      <c r="A1952" s="3">
        <v>44474</v>
      </c>
      <c r="B1952" s="2" t="str">
        <f t="shared" si="30"/>
        <v>sa-5-10</v>
      </c>
      <c r="C1952" t="s">
        <v>341</v>
      </c>
      <c r="D1952" t="s">
        <v>22</v>
      </c>
      <c r="E1952">
        <v>4</v>
      </c>
      <c r="F1952" s="6">
        <f>VLOOKUP(D1952,Products!A$2:C$101,3,FALSE)*E1952</f>
        <v>136</v>
      </c>
      <c r="G1952" t="s">
        <v>397</v>
      </c>
    </row>
    <row r="1953" spans="1:7" x14ac:dyDescent="0.25">
      <c r="A1953" s="3">
        <v>44076</v>
      </c>
      <c r="B1953" s="2" t="str">
        <f t="shared" si="30"/>
        <v>sa-2-9</v>
      </c>
      <c r="C1953" t="s">
        <v>355</v>
      </c>
      <c r="D1953" t="s">
        <v>27</v>
      </c>
      <c r="E1953">
        <v>3</v>
      </c>
      <c r="F1953" s="6">
        <f>VLOOKUP(D1953,Products!A$2:C$101,3,FALSE)*E1953</f>
        <v>102</v>
      </c>
      <c r="G1953" t="s">
        <v>396</v>
      </c>
    </row>
    <row r="1954" spans="1:7" x14ac:dyDescent="0.25">
      <c r="A1954" s="3">
        <v>44056</v>
      </c>
      <c r="B1954" s="2" t="str">
        <f t="shared" si="30"/>
        <v>sa-13-8</v>
      </c>
      <c r="C1954" t="s">
        <v>339</v>
      </c>
      <c r="D1954" t="s">
        <v>43</v>
      </c>
      <c r="E1954">
        <v>3</v>
      </c>
      <c r="F1954" s="6">
        <f>VLOOKUP(D1954,Products!A$2:C$101,3,FALSE)*E1954</f>
        <v>99</v>
      </c>
      <c r="G1954" t="s">
        <v>403</v>
      </c>
    </row>
    <row r="1955" spans="1:7" x14ac:dyDescent="0.25">
      <c r="A1955" s="3">
        <v>43918</v>
      </c>
      <c r="B1955" s="2" t="str">
        <f t="shared" si="30"/>
        <v>sa-28-3</v>
      </c>
      <c r="C1955" t="s">
        <v>317</v>
      </c>
      <c r="D1955" t="s">
        <v>99</v>
      </c>
      <c r="E1955">
        <v>5</v>
      </c>
      <c r="F1955" s="6">
        <f>VLOOKUP(D1955,Products!A$2:C$101,3,FALSE)*E1955</f>
        <v>75</v>
      </c>
      <c r="G1955" t="s">
        <v>408</v>
      </c>
    </row>
    <row r="1956" spans="1:7" x14ac:dyDescent="0.25">
      <c r="A1956" s="3">
        <v>43898</v>
      </c>
      <c r="B1956" s="2" t="str">
        <f t="shared" si="30"/>
        <v>sa-8-3</v>
      </c>
      <c r="C1956" t="s">
        <v>352</v>
      </c>
      <c r="D1956" t="s">
        <v>3</v>
      </c>
      <c r="E1956">
        <v>6</v>
      </c>
      <c r="F1956" s="6">
        <f>VLOOKUP(D1956,Products!A$2:C$101,3,FALSE)*E1956</f>
        <v>444</v>
      </c>
      <c r="G1956" t="s">
        <v>402</v>
      </c>
    </row>
    <row r="1957" spans="1:7" x14ac:dyDescent="0.25">
      <c r="A1957" s="3">
        <v>44532</v>
      </c>
      <c r="B1957" s="2" t="str">
        <f t="shared" si="30"/>
        <v>sa-2-12</v>
      </c>
      <c r="C1957" t="s">
        <v>351</v>
      </c>
      <c r="D1957" t="s">
        <v>65</v>
      </c>
      <c r="E1957">
        <v>5</v>
      </c>
      <c r="F1957" s="6">
        <f>VLOOKUP(D1957,Products!A$2:C$101,3,FALSE)*E1957</f>
        <v>160</v>
      </c>
      <c r="G1957" t="s">
        <v>400</v>
      </c>
    </row>
    <row r="1958" spans="1:7" x14ac:dyDescent="0.25">
      <c r="A1958" s="3">
        <v>44488</v>
      </c>
      <c r="B1958" s="2" t="str">
        <f t="shared" si="30"/>
        <v>sa-19-10</v>
      </c>
      <c r="C1958" t="s">
        <v>352</v>
      </c>
      <c r="D1958" t="s">
        <v>40</v>
      </c>
      <c r="E1958">
        <v>3</v>
      </c>
      <c r="F1958" s="6">
        <f>VLOOKUP(D1958,Products!A$2:C$101,3,FALSE)*E1958</f>
        <v>102</v>
      </c>
      <c r="G1958" t="s">
        <v>399</v>
      </c>
    </row>
    <row r="1959" spans="1:7" x14ac:dyDescent="0.25">
      <c r="A1959" s="3">
        <v>44040</v>
      </c>
      <c r="B1959" s="2" t="str">
        <f t="shared" si="30"/>
        <v>sa-28-7</v>
      </c>
      <c r="C1959" t="s">
        <v>334</v>
      </c>
      <c r="D1959" t="s">
        <v>82</v>
      </c>
      <c r="E1959">
        <v>6</v>
      </c>
      <c r="F1959" s="6">
        <f>VLOOKUP(D1959,Products!A$2:C$101,3,FALSE)*E1959</f>
        <v>192</v>
      </c>
      <c r="G1959" t="s">
        <v>397</v>
      </c>
    </row>
    <row r="1960" spans="1:7" x14ac:dyDescent="0.25">
      <c r="A1960" s="3">
        <v>44579</v>
      </c>
      <c r="B1960" s="2" t="str">
        <f t="shared" si="30"/>
        <v>sa-18-1</v>
      </c>
      <c r="C1960" t="s">
        <v>336</v>
      </c>
      <c r="D1960" t="s">
        <v>28</v>
      </c>
      <c r="E1960">
        <v>2</v>
      </c>
      <c r="F1960" s="6">
        <f>VLOOKUP(D1960,Products!A$2:C$101,3,FALSE)*E1960</f>
        <v>60</v>
      </c>
      <c r="G1960" t="s">
        <v>397</v>
      </c>
    </row>
    <row r="1961" spans="1:7" x14ac:dyDescent="0.25">
      <c r="A1961" s="3">
        <v>44012</v>
      </c>
      <c r="B1961" s="2" t="str">
        <f t="shared" si="30"/>
        <v>sa-30-6</v>
      </c>
      <c r="C1961" t="s">
        <v>336</v>
      </c>
      <c r="D1961" t="s">
        <v>83</v>
      </c>
      <c r="E1961">
        <v>6</v>
      </c>
      <c r="F1961" s="6">
        <f>VLOOKUP(D1961,Products!A$2:C$101,3,FALSE)*E1961</f>
        <v>180</v>
      </c>
      <c r="G1961" t="s">
        <v>405</v>
      </c>
    </row>
    <row r="1962" spans="1:7" x14ac:dyDescent="0.25">
      <c r="A1962" s="3">
        <v>44171</v>
      </c>
      <c r="B1962" s="2" t="str">
        <f t="shared" si="30"/>
        <v>sa-6-12</v>
      </c>
      <c r="C1962" t="s">
        <v>328</v>
      </c>
      <c r="D1962" t="s">
        <v>65</v>
      </c>
      <c r="E1962">
        <v>6</v>
      </c>
      <c r="F1962" s="6">
        <f>VLOOKUP(D1962,Products!A$2:C$101,3,FALSE)*E1962</f>
        <v>192</v>
      </c>
      <c r="G1962" t="s">
        <v>405</v>
      </c>
    </row>
    <row r="1963" spans="1:7" x14ac:dyDescent="0.25">
      <c r="A1963" s="3">
        <v>44044</v>
      </c>
      <c r="B1963" s="2" t="str">
        <f t="shared" si="30"/>
        <v>sa-1-8</v>
      </c>
      <c r="C1963" t="s">
        <v>334</v>
      </c>
      <c r="D1963" t="s">
        <v>93</v>
      </c>
      <c r="E1963">
        <v>4</v>
      </c>
      <c r="F1963" s="6">
        <f>VLOOKUP(D1963,Products!A$2:C$101,3,FALSE)*E1963</f>
        <v>68</v>
      </c>
      <c r="G1963" t="s">
        <v>403</v>
      </c>
    </row>
    <row r="1964" spans="1:7" x14ac:dyDescent="0.25">
      <c r="A1964" s="3">
        <v>44696</v>
      </c>
      <c r="B1964" s="2" t="str">
        <f t="shared" si="30"/>
        <v>sa-15-5</v>
      </c>
      <c r="C1964" t="s">
        <v>354</v>
      </c>
      <c r="D1964" t="s">
        <v>2</v>
      </c>
      <c r="E1964">
        <v>3</v>
      </c>
      <c r="F1964" s="6">
        <f>VLOOKUP(D1964,Products!A$2:C$101,3,FALSE)*E1964</f>
        <v>198</v>
      </c>
      <c r="G1964" t="s">
        <v>395</v>
      </c>
    </row>
    <row r="1965" spans="1:7" x14ac:dyDescent="0.25">
      <c r="A1965" s="3">
        <v>44139</v>
      </c>
      <c r="B1965" s="2" t="str">
        <f t="shared" si="30"/>
        <v>sa-4-11</v>
      </c>
      <c r="C1965" t="s">
        <v>307</v>
      </c>
      <c r="D1965" t="s">
        <v>77</v>
      </c>
      <c r="E1965">
        <v>2</v>
      </c>
      <c r="F1965" s="6">
        <f>VLOOKUP(D1965,Products!A$2:C$101,3,FALSE)*E1965</f>
        <v>68</v>
      </c>
      <c r="G1965" t="s">
        <v>403</v>
      </c>
    </row>
    <row r="1966" spans="1:7" x14ac:dyDescent="0.25">
      <c r="A1966" s="3">
        <v>44255</v>
      </c>
      <c r="B1966" s="2" t="str">
        <f t="shared" si="30"/>
        <v>sa-28-2</v>
      </c>
      <c r="C1966" t="s">
        <v>319</v>
      </c>
      <c r="D1966" t="s">
        <v>86</v>
      </c>
      <c r="E1966">
        <v>6</v>
      </c>
      <c r="F1966" s="6">
        <f>VLOOKUP(D1966,Products!A$2:C$101,3,FALSE)*E1966</f>
        <v>204</v>
      </c>
      <c r="G1966" t="s">
        <v>398</v>
      </c>
    </row>
    <row r="1967" spans="1:7" x14ac:dyDescent="0.25">
      <c r="A1967" s="3">
        <v>44493</v>
      </c>
      <c r="B1967" s="2" t="str">
        <f t="shared" si="30"/>
        <v>sa-24-10</v>
      </c>
      <c r="C1967" t="s">
        <v>338</v>
      </c>
      <c r="D1967" t="s">
        <v>61</v>
      </c>
      <c r="E1967">
        <v>4</v>
      </c>
      <c r="F1967" s="6">
        <f>VLOOKUP(D1967,Products!A$2:C$101,3,FALSE)*E1967</f>
        <v>124</v>
      </c>
      <c r="G1967" t="s">
        <v>407</v>
      </c>
    </row>
    <row r="1968" spans="1:7" x14ac:dyDescent="0.25">
      <c r="A1968" s="3">
        <v>43918</v>
      </c>
      <c r="B1968" s="2" t="str">
        <f t="shared" si="30"/>
        <v>sa-28-3</v>
      </c>
      <c r="C1968" t="s">
        <v>310</v>
      </c>
      <c r="D1968" t="s">
        <v>66</v>
      </c>
      <c r="E1968">
        <v>5</v>
      </c>
      <c r="F1968" s="6">
        <f>VLOOKUP(D1968,Products!A$2:C$101,3,FALSE)*E1968</f>
        <v>150</v>
      </c>
      <c r="G1968" t="s">
        <v>395</v>
      </c>
    </row>
    <row r="1969" spans="1:7" x14ac:dyDescent="0.25">
      <c r="A1969" s="3">
        <v>44552</v>
      </c>
      <c r="B1969" s="2" t="str">
        <f t="shared" si="30"/>
        <v>sa-22-12</v>
      </c>
      <c r="C1969" t="s">
        <v>327</v>
      </c>
      <c r="D1969" t="s">
        <v>18</v>
      </c>
      <c r="E1969">
        <v>6</v>
      </c>
      <c r="F1969" s="6">
        <f>VLOOKUP(D1969,Products!A$2:C$101,3,FALSE)*E1969</f>
        <v>210</v>
      </c>
      <c r="G1969" t="s">
        <v>396</v>
      </c>
    </row>
    <row r="1970" spans="1:7" x14ac:dyDescent="0.25">
      <c r="A1970" s="3">
        <v>43940</v>
      </c>
      <c r="B1970" s="2" t="str">
        <f t="shared" si="30"/>
        <v>sa-19-4</v>
      </c>
      <c r="C1970" t="s">
        <v>310</v>
      </c>
      <c r="D1970" t="s">
        <v>5</v>
      </c>
      <c r="E1970">
        <v>4</v>
      </c>
      <c r="F1970" s="6">
        <f>VLOOKUP(D1970,Products!A$2:C$101,3,FALSE)*E1970</f>
        <v>320</v>
      </c>
      <c r="G1970" t="s">
        <v>406</v>
      </c>
    </row>
    <row r="1971" spans="1:7" x14ac:dyDescent="0.25">
      <c r="A1971" s="3">
        <v>44276</v>
      </c>
      <c r="B1971" s="2" t="str">
        <f t="shared" si="30"/>
        <v>sa-21-3</v>
      </c>
      <c r="C1971" t="s">
        <v>342</v>
      </c>
      <c r="D1971" t="s">
        <v>58</v>
      </c>
      <c r="E1971">
        <v>6</v>
      </c>
      <c r="F1971" s="6">
        <f>VLOOKUP(D1971,Products!A$2:C$101,3,FALSE)*E1971</f>
        <v>210</v>
      </c>
      <c r="G1971" t="s">
        <v>401</v>
      </c>
    </row>
    <row r="1972" spans="1:7" x14ac:dyDescent="0.25">
      <c r="A1972" s="3">
        <v>44421</v>
      </c>
      <c r="B1972" s="2" t="str">
        <f t="shared" si="30"/>
        <v>sa-13-8</v>
      </c>
      <c r="C1972" t="s">
        <v>322</v>
      </c>
      <c r="D1972" t="s">
        <v>6</v>
      </c>
      <c r="E1972">
        <v>3</v>
      </c>
      <c r="F1972" s="6">
        <f>VLOOKUP(D1972,Products!A$2:C$101,3,FALSE)*E1972</f>
        <v>207</v>
      </c>
      <c r="G1972" t="s">
        <v>398</v>
      </c>
    </row>
    <row r="1973" spans="1:7" x14ac:dyDescent="0.25">
      <c r="A1973" s="3">
        <v>44185</v>
      </c>
      <c r="B1973" s="2" t="str">
        <f t="shared" si="30"/>
        <v>sa-20-12</v>
      </c>
      <c r="C1973" t="s">
        <v>332</v>
      </c>
      <c r="D1973" t="s">
        <v>77</v>
      </c>
      <c r="E1973">
        <v>6</v>
      </c>
      <c r="F1973" s="6">
        <f>VLOOKUP(D1973,Products!A$2:C$101,3,FALSE)*E1973</f>
        <v>204</v>
      </c>
      <c r="G1973" t="s">
        <v>399</v>
      </c>
    </row>
    <row r="1974" spans="1:7" x14ac:dyDescent="0.25">
      <c r="A1974" s="3">
        <v>43849</v>
      </c>
      <c r="B1974" s="2" t="str">
        <f t="shared" si="30"/>
        <v>sa-19-1</v>
      </c>
      <c r="C1974" t="s">
        <v>350</v>
      </c>
      <c r="D1974" t="s">
        <v>86</v>
      </c>
      <c r="E1974">
        <v>4</v>
      </c>
      <c r="F1974" s="6">
        <f>VLOOKUP(D1974,Products!A$2:C$101,3,FALSE)*E1974</f>
        <v>136</v>
      </c>
      <c r="G1974" t="s">
        <v>405</v>
      </c>
    </row>
    <row r="1975" spans="1:7" x14ac:dyDescent="0.25">
      <c r="A1975" s="3">
        <v>43944</v>
      </c>
      <c r="B1975" s="2" t="str">
        <f t="shared" si="30"/>
        <v>sa-23-4</v>
      </c>
      <c r="C1975" t="s">
        <v>328</v>
      </c>
      <c r="D1975" t="s">
        <v>57</v>
      </c>
      <c r="E1975">
        <v>2</v>
      </c>
      <c r="F1975" s="6">
        <f>VLOOKUP(D1975,Products!A$2:C$101,3,FALSE)*E1975</f>
        <v>70</v>
      </c>
      <c r="G1975" t="s">
        <v>395</v>
      </c>
    </row>
    <row r="1976" spans="1:7" x14ac:dyDescent="0.25">
      <c r="A1976" s="3">
        <v>44190</v>
      </c>
      <c r="B1976" s="2" t="str">
        <f t="shared" si="30"/>
        <v>sa-25-12</v>
      </c>
      <c r="C1976" t="s">
        <v>307</v>
      </c>
      <c r="D1976" t="s">
        <v>2</v>
      </c>
      <c r="E1976">
        <v>6</v>
      </c>
      <c r="F1976" s="6">
        <f>VLOOKUP(D1976,Products!A$2:C$101,3,FALSE)*E1976</f>
        <v>396</v>
      </c>
      <c r="G1976" t="s">
        <v>404</v>
      </c>
    </row>
    <row r="1977" spans="1:7" x14ac:dyDescent="0.25">
      <c r="A1977" s="3">
        <v>43851</v>
      </c>
      <c r="B1977" s="2" t="str">
        <f t="shared" si="30"/>
        <v>sa-21-1</v>
      </c>
      <c r="C1977" t="s">
        <v>355</v>
      </c>
      <c r="D1977" t="s">
        <v>6</v>
      </c>
      <c r="E1977">
        <v>4</v>
      </c>
      <c r="F1977" s="6">
        <f>VLOOKUP(D1977,Products!A$2:C$101,3,FALSE)*E1977</f>
        <v>276</v>
      </c>
      <c r="G1977" t="s">
        <v>403</v>
      </c>
    </row>
    <row r="1978" spans="1:7" x14ac:dyDescent="0.25">
      <c r="A1978" s="3">
        <v>44379</v>
      </c>
      <c r="B1978" s="2" t="str">
        <f t="shared" si="30"/>
        <v>sa-2-7</v>
      </c>
      <c r="C1978" t="s">
        <v>314</v>
      </c>
      <c r="D1978" t="s">
        <v>20</v>
      </c>
      <c r="E1978">
        <v>6</v>
      </c>
      <c r="F1978" s="6">
        <f>VLOOKUP(D1978,Products!A$2:C$101,3,FALSE)*E1978</f>
        <v>198</v>
      </c>
      <c r="G1978" t="s">
        <v>408</v>
      </c>
    </row>
    <row r="1979" spans="1:7" x14ac:dyDescent="0.25">
      <c r="A1979" s="3">
        <v>44146</v>
      </c>
      <c r="B1979" s="2" t="str">
        <f t="shared" si="30"/>
        <v>sa-11-11</v>
      </c>
      <c r="C1979" t="s">
        <v>344</v>
      </c>
      <c r="D1979" t="s">
        <v>32</v>
      </c>
      <c r="E1979">
        <v>2</v>
      </c>
      <c r="F1979" s="6">
        <f>VLOOKUP(D1979,Products!A$2:C$101,3,FALSE)*E1979</f>
        <v>68</v>
      </c>
      <c r="G1979" t="s">
        <v>395</v>
      </c>
    </row>
    <row r="1980" spans="1:7" x14ac:dyDescent="0.25">
      <c r="A1980" s="3">
        <v>44401</v>
      </c>
      <c r="B1980" s="2" t="str">
        <f t="shared" si="30"/>
        <v>sa-24-7</v>
      </c>
      <c r="C1980" t="s">
        <v>317</v>
      </c>
      <c r="D1980" t="s">
        <v>2</v>
      </c>
      <c r="E1980">
        <v>6</v>
      </c>
      <c r="F1980" s="6">
        <f>VLOOKUP(D1980,Products!A$2:C$101,3,FALSE)*E1980</f>
        <v>396</v>
      </c>
      <c r="G1980" t="s">
        <v>403</v>
      </c>
    </row>
    <row r="1981" spans="1:7" x14ac:dyDescent="0.25">
      <c r="A1981" s="3">
        <v>43848</v>
      </c>
      <c r="B1981" s="2" t="str">
        <f t="shared" si="30"/>
        <v>sa-18-1</v>
      </c>
      <c r="C1981" t="s">
        <v>350</v>
      </c>
      <c r="D1981" t="s">
        <v>20</v>
      </c>
      <c r="E1981">
        <v>4</v>
      </c>
      <c r="F1981" s="6">
        <f>VLOOKUP(D1981,Products!A$2:C$101,3,FALSE)*E1981</f>
        <v>132</v>
      </c>
      <c r="G1981" t="s">
        <v>407</v>
      </c>
    </row>
    <row r="1982" spans="1:7" x14ac:dyDescent="0.25">
      <c r="A1982" s="3">
        <v>44509</v>
      </c>
      <c r="B1982" s="2" t="str">
        <f t="shared" si="30"/>
        <v>sa-9-11</v>
      </c>
      <c r="C1982" t="s">
        <v>325</v>
      </c>
      <c r="D1982" t="s">
        <v>67</v>
      </c>
      <c r="E1982">
        <v>6</v>
      </c>
      <c r="F1982" s="6">
        <f>VLOOKUP(D1982,Products!A$2:C$101,3,FALSE)*E1982</f>
        <v>192</v>
      </c>
      <c r="G1982" t="s">
        <v>399</v>
      </c>
    </row>
    <row r="1983" spans="1:7" x14ac:dyDescent="0.25">
      <c r="A1983" s="3">
        <v>43940</v>
      </c>
      <c r="B1983" s="2" t="str">
        <f t="shared" si="30"/>
        <v>sa-19-4</v>
      </c>
      <c r="C1983" t="s">
        <v>346</v>
      </c>
      <c r="D1983" t="s">
        <v>27</v>
      </c>
      <c r="E1983">
        <v>6</v>
      </c>
      <c r="F1983" s="6">
        <f>VLOOKUP(D1983,Products!A$2:C$101,3,FALSE)*E1983</f>
        <v>204</v>
      </c>
      <c r="G1983" t="s">
        <v>402</v>
      </c>
    </row>
    <row r="1984" spans="1:7" x14ac:dyDescent="0.25">
      <c r="A1984" s="3">
        <v>44176</v>
      </c>
      <c r="B1984" s="2" t="str">
        <f t="shared" si="30"/>
        <v>sa-11-12</v>
      </c>
      <c r="C1984" t="s">
        <v>342</v>
      </c>
      <c r="D1984" t="s">
        <v>36</v>
      </c>
      <c r="E1984">
        <v>3</v>
      </c>
      <c r="F1984" s="6">
        <f>VLOOKUP(D1984,Products!A$2:C$101,3,FALSE)*E1984</f>
        <v>102</v>
      </c>
      <c r="G1984" t="s">
        <v>403</v>
      </c>
    </row>
    <row r="1985" spans="1:7" x14ac:dyDescent="0.25">
      <c r="A1985" s="3">
        <v>44215</v>
      </c>
      <c r="B1985" s="2" t="str">
        <f t="shared" si="30"/>
        <v>sa-19-1</v>
      </c>
      <c r="C1985" t="s">
        <v>310</v>
      </c>
      <c r="D1985" t="s">
        <v>36</v>
      </c>
      <c r="E1985">
        <v>6</v>
      </c>
      <c r="F1985" s="6">
        <f>VLOOKUP(D1985,Products!A$2:C$101,3,FALSE)*E1985</f>
        <v>204</v>
      </c>
      <c r="G1985" t="s">
        <v>399</v>
      </c>
    </row>
    <row r="1986" spans="1:7" x14ac:dyDescent="0.25">
      <c r="A1986" s="3">
        <v>44355</v>
      </c>
      <c r="B1986" s="2" t="str">
        <f t="shared" si="30"/>
        <v>sa-8-6</v>
      </c>
      <c r="C1986" t="s">
        <v>322</v>
      </c>
      <c r="D1986" t="s">
        <v>100</v>
      </c>
      <c r="E1986">
        <v>5</v>
      </c>
      <c r="F1986" s="6">
        <f>VLOOKUP(D1986,Products!A$2:C$101,3,FALSE)*E1986</f>
        <v>75</v>
      </c>
      <c r="G1986" t="s">
        <v>402</v>
      </c>
    </row>
    <row r="1987" spans="1:7" x14ac:dyDescent="0.25">
      <c r="A1987" s="3">
        <v>44367</v>
      </c>
      <c r="B1987" s="2" t="str">
        <f t="shared" ref="B1987:B2000" si="31">"sa-"&amp;DAY(A1987)&amp;"-"&amp;MONTH(A1987)</f>
        <v>sa-20-6</v>
      </c>
      <c r="C1987" t="s">
        <v>323</v>
      </c>
      <c r="D1987" t="s">
        <v>72</v>
      </c>
      <c r="E1987">
        <v>5</v>
      </c>
      <c r="F1987" s="6">
        <f>VLOOKUP(D1987,Products!A$2:C$101,3,FALSE)*E1987</f>
        <v>155</v>
      </c>
      <c r="G1987" t="s">
        <v>400</v>
      </c>
    </row>
    <row r="1988" spans="1:7" x14ac:dyDescent="0.25">
      <c r="A1988" s="3">
        <v>44052</v>
      </c>
      <c r="B1988" s="2" t="str">
        <f t="shared" si="31"/>
        <v>sa-9-8</v>
      </c>
      <c r="C1988" t="s">
        <v>312</v>
      </c>
      <c r="D1988" t="s">
        <v>95</v>
      </c>
      <c r="E1988">
        <v>5</v>
      </c>
      <c r="F1988" s="6">
        <f>VLOOKUP(D1988,Products!A$2:C$101,3,FALSE)*E1988</f>
        <v>60</v>
      </c>
      <c r="G1988" t="s">
        <v>400</v>
      </c>
    </row>
    <row r="1989" spans="1:7" x14ac:dyDescent="0.25">
      <c r="A1989" s="3">
        <v>44690</v>
      </c>
      <c r="B1989" s="2" t="str">
        <f t="shared" si="31"/>
        <v>sa-9-5</v>
      </c>
      <c r="C1989" t="s">
        <v>330</v>
      </c>
      <c r="D1989" t="s">
        <v>36</v>
      </c>
      <c r="E1989">
        <v>4</v>
      </c>
      <c r="F1989" s="6">
        <f>VLOOKUP(D1989,Products!A$2:C$101,3,FALSE)*E1989</f>
        <v>136</v>
      </c>
      <c r="G1989" t="s">
        <v>395</v>
      </c>
    </row>
    <row r="1990" spans="1:7" x14ac:dyDescent="0.25">
      <c r="A1990" s="3">
        <v>44588</v>
      </c>
      <c r="B1990" s="2" t="str">
        <f t="shared" si="31"/>
        <v>sa-27-1</v>
      </c>
      <c r="C1990" t="s">
        <v>331</v>
      </c>
      <c r="D1990" t="s">
        <v>35</v>
      </c>
      <c r="E1990">
        <v>2</v>
      </c>
      <c r="F1990" s="6">
        <f>VLOOKUP(D1990,Products!A$2:C$101,3,FALSE)*E1990</f>
        <v>60</v>
      </c>
      <c r="G1990" t="s">
        <v>397</v>
      </c>
    </row>
    <row r="1991" spans="1:7" x14ac:dyDescent="0.25">
      <c r="A1991" s="3">
        <v>43899</v>
      </c>
      <c r="B1991" s="2" t="str">
        <f t="shared" si="31"/>
        <v>sa-9-3</v>
      </c>
      <c r="C1991" t="s">
        <v>311</v>
      </c>
      <c r="D1991" t="s">
        <v>98</v>
      </c>
      <c r="E1991">
        <v>2</v>
      </c>
      <c r="F1991" s="6">
        <f>VLOOKUP(D1991,Products!A$2:C$101,3,FALSE)*E1991</f>
        <v>38</v>
      </c>
      <c r="G1991" t="s">
        <v>407</v>
      </c>
    </row>
    <row r="1992" spans="1:7" x14ac:dyDescent="0.25">
      <c r="A1992" s="3">
        <v>44664</v>
      </c>
      <c r="B1992" s="2" t="str">
        <f t="shared" si="31"/>
        <v>sa-13-4</v>
      </c>
      <c r="C1992" t="s">
        <v>334</v>
      </c>
      <c r="D1992" t="s">
        <v>92</v>
      </c>
      <c r="E1992">
        <v>6</v>
      </c>
      <c r="F1992" s="6">
        <f>VLOOKUP(D1992,Products!A$2:C$101,3,FALSE)*E1992</f>
        <v>84</v>
      </c>
      <c r="G1992" t="s">
        <v>400</v>
      </c>
    </row>
    <row r="1993" spans="1:7" x14ac:dyDescent="0.25">
      <c r="A1993" s="3">
        <v>44377</v>
      </c>
      <c r="B1993" s="2" t="str">
        <f t="shared" si="31"/>
        <v>sa-30-6</v>
      </c>
      <c r="C1993" t="s">
        <v>316</v>
      </c>
      <c r="D1993" t="s">
        <v>10</v>
      </c>
      <c r="E1993">
        <v>5</v>
      </c>
      <c r="F1993" s="6">
        <f>VLOOKUP(D1993,Products!A$2:C$101,3,FALSE)*E1993</f>
        <v>360</v>
      </c>
      <c r="G1993" t="s">
        <v>405</v>
      </c>
    </row>
    <row r="1994" spans="1:7" x14ac:dyDescent="0.25">
      <c r="A1994" s="3">
        <v>43990</v>
      </c>
      <c r="B1994" s="2" t="str">
        <f t="shared" si="31"/>
        <v>sa-8-6</v>
      </c>
      <c r="C1994" t="s">
        <v>338</v>
      </c>
      <c r="D1994" t="s">
        <v>49</v>
      </c>
      <c r="E1994">
        <v>6</v>
      </c>
      <c r="F1994" s="6">
        <f>VLOOKUP(D1994,Products!A$2:C$101,3,FALSE)*E1994</f>
        <v>198</v>
      </c>
      <c r="G1994" t="s">
        <v>407</v>
      </c>
    </row>
    <row r="1995" spans="1:7" x14ac:dyDescent="0.25">
      <c r="A1995" s="3">
        <v>44446</v>
      </c>
      <c r="B1995" s="2" t="str">
        <f t="shared" si="31"/>
        <v>sa-7-9</v>
      </c>
      <c r="C1995" t="s">
        <v>348</v>
      </c>
      <c r="D1995" t="s">
        <v>77</v>
      </c>
      <c r="E1995">
        <v>3</v>
      </c>
      <c r="F1995" s="6">
        <f>VLOOKUP(D1995,Products!A$2:C$101,3,FALSE)*E1995</f>
        <v>102</v>
      </c>
      <c r="G1995" t="s">
        <v>407</v>
      </c>
    </row>
    <row r="1996" spans="1:7" x14ac:dyDescent="0.25">
      <c r="A1996" s="3">
        <v>44547</v>
      </c>
      <c r="B1996" s="2" t="str">
        <f t="shared" si="31"/>
        <v>sa-17-12</v>
      </c>
      <c r="C1996" t="s">
        <v>327</v>
      </c>
      <c r="D1996" t="s">
        <v>27</v>
      </c>
      <c r="E1996">
        <v>3</v>
      </c>
      <c r="F1996" s="6">
        <f>VLOOKUP(D1996,Products!A$2:C$101,3,FALSE)*E1996</f>
        <v>102</v>
      </c>
      <c r="G1996" t="s">
        <v>407</v>
      </c>
    </row>
    <row r="1997" spans="1:7" x14ac:dyDescent="0.25">
      <c r="A1997" s="3">
        <v>44017</v>
      </c>
      <c r="B1997" s="2" t="str">
        <f t="shared" si="31"/>
        <v>sa-5-7</v>
      </c>
      <c r="C1997" t="s">
        <v>313</v>
      </c>
      <c r="D1997" t="s">
        <v>27</v>
      </c>
      <c r="E1997">
        <v>6</v>
      </c>
      <c r="F1997" s="6">
        <f>VLOOKUP(D1997,Products!A$2:C$101,3,FALSE)*E1997</f>
        <v>204</v>
      </c>
      <c r="G1997" t="s">
        <v>397</v>
      </c>
    </row>
    <row r="1998" spans="1:7" x14ac:dyDescent="0.25">
      <c r="A1998" s="3">
        <v>44176</v>
      </c>
      <c r="B1998" s="2" t="str">
        <f t="shared" si="31"/>
        <v>sa-11-12</v>
      </c>
      <c r="C1998" t="s">
        <v>348</v>
      </c>
      <c r="D1998" t="s">
        <v>96</v>
      </c>
      <c r="E1998">
        <v>5</v>
      </c>
      <c r="F1998" s="6">
        <f>VLOOKUP(D1998,Products!A$2:C$101,3,FALSE)*E1998</f>
        <v>50</v>
      </c>
      <c r="G1998" t="s">
        <v>404</v>
      </c>
    </row>
    <row r="1999" spans="1:7" x14ac:dyDescent="0.25">
      <c r="A1999" s="3">
        <v>44458</v>
      </c>
      <c r="B1999" s="2" t="str">
        <f t="shared" si="31"/>
        <v>sa-19-9</v>
      </c>
      <c r="C1999" t="s">
        <v>326</v>
      </c>
      <c r="D1999" t="s">
        <v>6</v>
      </c>
      <c r="E1999">
        <v>2</v>
      </c>
      <c r="F1999" s="6">
        <f>VLOOKUP(D1999,Products!A$2:C$101,3,FALSE)*E1999</f>
        <v>138</v>
      </c>
      <c r="G1999" t="s">
        <v>399</v>
      </c>
    </row>
    <row r="2000" spans="1:7" x14ac:dyDescent="0.25">
      <c r="A2000" s="3">
        <v>44005</v>
      </c>
      <c r="B2000" s="2" t="str">
        <f t="shared" si="31"/>
        <v>sa-23-6</v>
      </c>
      <c r="C2000" t="s">
        <v>348</v>
      </c>
      <c r="D2000" t="s">
        <v>72</v>
      </c>
      <c r="E2000">
        <v>3</v>
      </c>
      <c r="F2000" s="6">
        <f>VLOOKUP(D2000,Products!A$2:C$101,3,FALSE)*E2000</f>
        <v>93</v>
      </c>
      <c r="G2000" t="s">
        <v>397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AEF0-FEC8-4E57-8C4B-052277F4D789}">
  <dimension ref="A1:E50"/>
  <sheetViews>
    <sheetView tabSelected="1" workbookViewId="0">
      <selection activeCell="F2" sqref="F2"/>
    </sheetView>
  </sheetViews>
  <sheetFormatPr defaultRowHeight="15" x14ac:dyDescent="0.25"/>
  <cols>
    <col min="1" max="1" width="23" customWidth="1"/>
    <col min="2" max="2" width="11.5703125" bestFit="1" customWidth="1"/>
    <col min="3" max="3" width="10.85546875" bestFit="1" customWidth="1"/>
    <col min="5" max="5" width="14" customWidth="1"/>
  </cols>
  <sheetData>
    <row r="1" spans="1:5" x14ac:dyDescent="0.25">
      <c r="A1" s="1" t="s">
        <v>305</v>
      </c>
      <c r="B1" s="1" t="s">
        <v>304</v>
      </c>
      <c r="C1" s="1" t="s">
        <v>303</v>
      </c>
      <c r="D1" s="1" t="s">
        <v>306</v>
      </c>
      <c r="E1" s="1" t="s">
        <v>394</v>
      </c>
    </row>
    <row r="2" spans="1:5" x14ac:dyDescent="0.25">
      <c r="A2" t="str" cm="1">
        <f t="array" ref="A2">"CS_"&amp;LEFT(B2,3)&amp;"_"&amp;ROW(2:2)</f>
        <v>CS_Gut_2</v>
      </c>
      <c r="B2" t="s">
        <v>212</v>
      </c>
      <c r="C2" t="s">
        <v>213</v>
      </c>
      <c r="D2" t="s">
        <v>214</v>
      </c>
      <c r="E2" t="s">
        <v>382</v>
      </c>
    </row>
    <row r="3" spans="1:5" x14ac:dyDescent="0.25">
      <c r="A3" t="str" cm="1">
        <f t="array" ref="A3">"CS_"&amp;LEFT(B3,3)&amp;"_"&amp;ROW(3:3)</f>
        <v>CS_Har_3</v>
      </c>
      <c r="B3" t="s">
        <v>215</v>
      </c>
      <c r="C3" t="s">
        <v>216</v>
      </c>
      <c r="D3" t="s">
        <v>217</v>
      </c>
      <c r="E3" t="s">
        <v>392</v>
      </c>
    </row>
    <row r="4" spans="1:5" x14ac:dyDescent="0.25">
      <c r="A4" t="str" cm="1">
        <f t="array" ref="A4">"CS_"&amp;LEFT(B4,3)&amp;"_"&amp;ROW(4:4)</f>
        <v>CS_Del_4</v>
      </c>
      <c r="B4" t="s">
        <v>218</v>
      </c>
      <c r="C4" t="s">
        <v>219</v>
      </c>
      <c r="D4" t="s">
        <v>217</v>
      </c>
      <c r="E4" t="s">
        <v>389</v>
      </c>
    </row>
    <row r="5" spans="1:5" x14ac:dyDescent="0.25">
      <c r="A5" t="str" cm="1">
        <f t="array" ref="A5">"CS_"&amp;LEFT(B5,3)&amp;"_"&amp;ROW(5:5)</f>
        <v>CS_Sim_5</v>
      </c>
      <c r="B5" t="s">
        <v>220</v>
      </c>
      <c r="C5" t="s">
        <v>221</v>
      </c>
      <c r="D5" t="s">
        <v>214</v>
      </c>
      <c r="E5" t="s">
        <v>382</v>
      </c>
    </row>
    <row r="6" spans="1:5" x14ac:dyDescent="0.25">
      <c r="A6" t="str" cm="1">
        <f t="array" ref="A6">"CS_"&amp;LEFT(B6,3)&amp;"_"&amp;ROW(6:6)</f>
        <v>CS_Del_6</v>
      </c>
      <c r="B6" t="s">
        <v>222</v>
      </c>
      <c r="C6" t="s">
        <v>223</v>
      </c>
      <c r="D6" t="s">
        <v>217</v>
      </c>
      <c r="E6" t="s">
        <v>384</v>
      </c>
    </row>
    <row r="7" spans="1:5" x14ac:dyDescent="0.25">
      <c r="A7" t="str" cm="1">
        <f t="array" ref="A7">"CS_"&amp;LEFT(B7,3)&amp;"_"&amp;ROW(7:7)</f>
        <v>CS_Jon_7</v>
      </c>
      <c r="B7" t="s">
        <v>224</v>
      </c>
      <c r="C7" t="s">
        <v>225</v>
      </c>
      <c r="D7" t="s">
        <v>217</v>
      </c>
      <c r="E7" t="s">
        <v>383</v>
      </c>
    </row>
    <row r="8" spans="1:5" x14ac:dyDescent="0.25">
      <c r="A8" t="str" cm="1">
        <f t="array" ref="A8">"CS_"&amp;LEFT(B8,3)&amp;"_"&amp;ROW(8:8)</f>
        <v>CS_Buf_8</v>
      </c>
      <c r="B8" t="s">
        <v>226</v>
      </c>
      <c r="C8" t="s">
        <v>227</v>
      </c>
      <c r="D8" t="s">
        <v>217</v>
      </c>
      <c r="E8" t="s">
        <v>389</v>
      </c>
    </row>
    <row r="9" spans="1:5" x14ac:dyDescent="0.25">
      <c r="A9" t="str" cm="1">
        <f t="array" ref="A9">"CS_"&amp;LEFT(B9,3)&amp;"_"&amp;ROW(9:9)</f>
        <v>CS_Lee_9</v>
      </c>
      <c r="B9" t="s">
        <v>228</v>
      </c>
      <c r="C9" t="s">
        <v>229</v>
      </c>
      <c r="D9" t="s">
        <v>217</v>
      </c>
      <c r="E9" t="s">
        <v>387</v>
      </c>
    </row>
    <row r="10" spans="1:5" x14ac:dyDescent="0.25">
      <c r="A10" t="str" cm="1">
        <f t="array" ref="A10">"CS_"&amp;LEFT(B10,3)&amp;"_"&amp;ROW(10:10)</f>
        <v>CS_Smi_10</v>
      </c>
      <c r="B10" t="s">
        <v>230</v>
      </c>
      <c r="C10" t="s">
        <v>231</v>
      </c>
      <c r="D10" t="s">
        <v>217</v>
      </c>
      <c r="E10" t="s">
        <v>380</v>
      </c>
    </row>
    <row r="11" spans="1:5" x14ac:dyDescent="0.25">
      <c r="A11" t="str" cm="1">
        <f t="array" ref="A11">"CS_"&amp;LEFT(B11,3)&amp;"_"&amp;ROW(11:11)</f>
        <v>CS_Bea_11</v>
      </c>
      <c r="B11" t="s">
        <v>232</v>
      </c>
      <c r="C11" t="s">
        <v>233</v>
      </c>
      <c r="D11" t="s">
        <v>217</v>
      </c>
      <c r="E11" t="s">
        <v>386</v>
      </c>
    </row>
    <row r="12" spans="1:5" x14ac:dyDescent="0.25">
      <c r="A12" t="str" cm="1">
        <f t="array" ref="A12">"CS_"&amp;LEFT(B12,3)&amp;"_"&amp;ROW(12:12)</f>
        <v>CS_Mat_12</v>
      </c>
      <c r="B12" t="s">
        <v>234</v>
      </c>
      <c r="C12" t="s">
        <v>235</v>
      </c>
      <c r="D12" t="s">
        <v>217</v>
      </c>
      <c r="E12" t="s">
        <v>387</v>
      </c>
    </row>
    <row r="13" spans="1:5" x14ac:dyDescent="0.25">
      <c r="A13" t="str" cm="1">
        <f t="array" ref="A13">"CS_"&amp;LEFT(B13,3)&amp;"_"&amp;ROW(13:13)</f>
        <v>CS_Bar_13</v>
      </c>
      <c r="B13" t="s">
        <v>236</v>
      </c>
      <c r="C13" t="s">
        <v>235</v>
      </c>
      <c r="D13" t="s">
        <v>217</v>
      </c>
      <c r="E13" t="s">
        <v>385</v>
      </c>
    </row>
    <row r="14" spans="1:5" x14ac:dyDescent="0.25">
      <c r="A14" t="str" cm="1">
        <f t="array" ref="A14">"CS_"&amp;LEFT(B14,3)&amp;"_"&amp;ROW(14:14)</f>
        <v>CS_Leo_14</v>
      </c>
      <c r="B14" t="s">
        <v>237</v>
      </c>
      <c r="C14" t="s">
        <v>238</v>
      </c>
      <c r="D14" t="s">
        <v>217</v>
      </c>
      <c r="E14" t="s">
        <v>392</v>
      </c>
    </row>
    <row r="15" spans="1:5" x14ac:dyDescent="0.25">
      <c r="A15" t="str" cm="1">
        <f t="array" ref="A15">"CS_"&amp;LEFT(B15,3)&amp;"_"&amp;ROW(15:15)</f>
        <v>CS_Dav_15</v>
      </c>
      <c r="B15" t="s">
        <v>239</v>
      </c>
      <c r="C15" t="s">
        <v>240</v>
      </c>
      <c r="D15" t="s">
        <v>214</v>
      </c>
      <c r="E15" t="s">
        <v>390</v>
      </c>
    </row>
    <row r="16" spans="1:5" x14ac:dyDescent="0.25">
      <c r="A16" t="str" cm="1">
        <f t="array" ref="A16">"CS_"&amp;LEFT(B16,3)&amp;"_"&amp;ROW(16:16)</f>
        <v>CS_Bel_16</v>
      </c>
      <c r="B16" t="s">
        <v>241</v>
      </c>
      <c r="C16" t="s">
        <v>242</v>
      </c>
      <c r="D16" t="s">
        <v>217</v>
      </c>
      <c r="E16" t="s">
        <v>383</v>
      </c>
    </row>
    <row r="17" spans="1:5" x14ac:dyDescent="0.25">
      <c r="A17" t="str" cm="1">
        <f t="array" ref="A17">"CS_"&amp;LEFT(B17,3)&amp;"_"&amp;ROW(17:17)</f>
        <v>CS_Com_17</v>
      </c>
      <c r="B17" t="s">
        <v>243</v>
      </c>
      <c r="C17" t="s">
        <v>244</v>
      </c>
      <c r="D17" t="s">
        <v>217</v>
      </c>
      <c r="E17" t="s">
        <v>393</v>
      </c>
    </row>
    <row r="18" spans="1:5" x14ac:dyDescent="0.25">
      <c r="A18" t="str" cm="1">
        <f t="array" ref="A18">"CS_"&amp;LEFT(B18,3)&amp;"_"&amp;ROW(18:18)</f>
        <v>CS_Viv_18</v>
      </c>
      <c r="B18" t="s">
        <v>245</v>
      </c>
      <c r="C18" t="s">
        <v>246</v>
      </c>
      <c r="D18" t="s">
        <v>214</v>
      </c>
      <c r="E18" t="s">
        <v>384</v>
      </c>
    </row>
    <row r="19" spans="1:5" x14ac:dyDescent="0.25">
      <c r="A19" t="str" cm="1">
        <f t="array" ref="A19">"CS_"&amp;LEFT(B19,3)&amp;"_"&amp;ROW(19:19)</f>
        <v>CS_Cra_19</v>
      </c>
      <c r="B19" t="s">
        <v>247</v>
      </c>
      <c r="C19" t="s">
        <v>248</v>
      </c>
      <c r="D19" t="s">
        <v>214</v>
      </c>
      <c r="E19" t="s">
        <v>385</v>
      </c>
    </row>
    <row r="20" spans="1:5" x14ac:dyDescent="0.25">
      <c r="A20" t="str" cm="1">
        <f t="array" ref="A20">"CS_"&amp;LEFT(B20,3)&amp;"_"&amp;ROW(20:20)</f>
        <v>CS_Jon_20</v>
      </c>
      <c r="B20" t="s">
        <v>224</v>
      </c>
      <c r="C20" t="s">
        <v>249</v>
      </c>
      <c r="D20" t="s">
        <v>214</v>
      </c>
      <c r="E20" t="s">
        <v>385</v>
      </c>
    </row>
    <row r="21" spans="1:5" x14ac:dyDescent="0.25">
      <c r="A21" t="str" cm="1">
        <f t="array" ref="A21">"CS_"&amp;LEFT(B21,3)&amp;"_"&amp;ROW(21:21)</f>
        <v>CS_Wat_21</v>
      </c>
      <c r="B21" t="s">
        <v>250</v>
      </c>
      <c r="C21" t="s">
        <v>251</v>
      </c>
      <c r="D21" t="s">
        <v>214</v>
      </c>
      <c r="E21" t="s">
        <v>393</v>
      </c>
    </row>
    <row r="22" spans="1:5" x14ac:dyDescent="0.25">
      <c r="A22" t="str" cm="1">
        <f t="array" ref="A22">"CS_"&amp;LEFT(B22,3)&amp;"_"&amp;ROW(22:22)</f>
        <v>CS_Cal_22</v>
      </c>
      <c r="B22" t="s">
        <v>252</v>
      </c>
      <c r="C22" t="s">
        <v>253</v>
      </c>
      <c r="D22" t="s">
        <v>217</v>
      </c>
      <c r="E22" t="s">
        <v>385</v>
      </c>
    </row>
    <row r="23" spans="1:5" x14ac:dyDescent="0.25">
      <c r="A23" t="str" cm="1">
        <f t="array" ref="A23">"CS_"&amp;LEFT(B23,3)&amp;"_"&amp;ROW(23:23)</f>
        <v>CS_Ham_23</v>
      </c>
      <c r="B23" t="s">
        <v>254</v>
      </c>
      <c r="C23" t="s">
        <v>255</v>
      </c>
      <c r="D23" t="s">
        <v>214</v>
      </c>
      <c r="E23" t="s">
        <v>391</v>
      </c>
    </row>
    <row r="24" spans="1:5" x14ac:dyDescent="0.25">
      <c r="A24" t="str" cm="1">
        <f t="array" ref="A24">"CS_"&amp;LEFT(B24,3)&amp;"_"&amp;ROW(24:24)</f>
        <v>CS_Jar_24</v>
      </c>
      <c r="B24" t="s">
        <v>256</v>
      </c>
      <c r="C24" t="s">
        <v>257</v>
      </c>
      <c r="D24" t="s">
        <v>214</v>
      </c>
      <c r="E24" t="s">
        <v>384</v>
      </c>
    </row>
    <row r="25" spans="1:5" x14ac:dyDescent="0.25">
      <c r="A25" t="str" cm="1">
        <f t="array" ref="A25">"CS_"&amp;LEFT(B25,3)&amp;"_"&amp;ROW(25:25)</f>
        <v>CS_But_25</v>
      </c>
      <c r="B25" t="s">
        <v>258</v>
      </c>
      <c r="C25" t="s">
        <v>259</v>
      </c>
      <c r="D25" t="s">
        <v>214</v>
      </c>
      <c r="E25" t="s">
        <v>393</v>
      </c>
    </row>
    <row r="26" spans="1:5" x14ac:dyDescent="0.25">
      <c r="A26" t="str" cm="1">
        <f t="array" ref="A26">"CS_"&amp;LEFT(B26,3)&amp;"_"&amp;ROW(26:26)</f>
        <v>CS_Sim_26</v>
      </c>
      <c r="B26" t="s">
        <v>260</v>
      </c>
      <c r="C26" t="s">
        <v>261</v>
      </c>
      <c r="D26" t="s">
        <v>217</v>
      </c>
      <c r="E26" t="s">
        <v>382</v>
      </c>
    </row>
    <row r="27" spans="1:5" x14ac:dyDescent="0.25">
      <c r="A27" t="str" cm="1">
        <f t="array" ref="A27">"CS_"&amp;LEFT(B27,3)&amp;"_"&amp;ROW(27:27)</f>
        <v>CS_Mas_27</v>
      </c>
      <c r="B27" t="s">
        <v>262</v>
      </c>
      <c r="C27" t="s">
        <v>263</v>
      </c>
      <c r="D27" t="s">
        <v>214</v>
      </c>
      <c r="E27" t="s">
        <v>382</v>
      </c>
    </row>
    <row r="28" spans="1:5" x14ac:dyDescent="0.25">
      <c r="A28" t="str" cm="1">
        <f t="array" ref="A28">"CS_"&amp;LEFT(B28,3)&amp;"_"&amp;ROW(28:28)</f>
        <v>CS_Bur_28</v>
      </c>
      <c r="B28" t="s">
        <v>264</v>
      </c>
      <c r="C28" t="s">
        <v>265</v>
      </c>
      <c r="D28" t="s">
        <v>217</v>
      </c>
      <c r="E28" t="s">
        <v>381</v>
      </c>
    </row>
    <row r="29" spans="1:5" x14ac:dyDescent="0.25">
      <c r="A29" t="str" cm="1">
        <f t="array" ref="A29">"CS_"&amp;LEFT(B29,3)&amp;"_"&amp;ROW(29:29)</f>
        <v>CS_Hun_29</v>
      </c>
      <c r="B29" t="s">
        <v>266</v>
      </c>
      <c r="C29" t="s">
        <v>267</v>
      </c>
      <c r="D29" t="s">
        <v>217</v>
      </c>
      <c r="E29" t="s">
        <v>383</v>
      </c>
    </row>
    <row r="30" spans="1:5" x14ac:dyDescent="0.25">
      <c r="A30" t="str" cm="1">
        <f t="array" ref="A30">"CS_"&amp;LEFT(B30,3)&amp;"_"&amp;ROW(30:30)</f>
        <v>CS_Loi_30</v>
      </c>
      <c r="B30" t="s">
        <v>268</v>
      </c>
      <c r="C30" t="s">
        <v>242</v>
      </c>
      <c r="D30" t="s">
        <v>217</v>
      </c>
      <c r="E30" t="s">
        <v>389</v>
      </c>
    </row>
    <row r="31" spans="1:5" x14ac:dyDescent="0.25">
      <c r="A31" t="str" cm="1">
        <f t="array" ref="A31">"CS_"&amp;LEFT(B31,3)&amp;"_"&amp;ROW(31:31)</f>
        <v>CS_Ngu_31</v>
      </c>
      <c r="B31" t="s">
        <v>269</v>
      </c>
      <c r="C31" t="s">
        <v>270</v>
      </c>
      <c r="D31" t="s">
        <v>217</v>
      </c>
      <c r="E31" t="s">
        <v>385</v>
      </c>
    </row>
    <row r="32" spans="1:5" x14ac:dyDescent="0.25">
      <c r="A32" t="str" cm="1">
        <f t="array" ref="A32">"CS_"&amp;LEFT(B32,3)&amp;"_"&amp;ROW(32:32)</f>
        <v>CS_Sch_32</v>
      </c>
      <c r="B32" t="s">
        <v>271</v>
      </c>
      <c r="C32" t="s">
        <v>238</v>
      </c>
      <c r="D32" t="s">
        <v>217</v>
      </c>
      <c r="E32" t="s">
        <v>388</v>
      </c>
    </row>
    <row r="33" spans="1:5" x14ac:dyDescent="0.25">
      <c r="A33" t="str" cm="1">
        <f t="array" ref="A33">"CS_"&amp;LEFT(B33,3)&amp;"_"&amp;ROW(33:33)</f>
        <v>CS_Don_33</v>
      </c>
      <c r="B33" t="s">
        <v>272</v>
      </c>
      <c r="C33" t="s">
        <v>273</v>
      </c>
      <c r="D33" t="s">
        <v>214</v>
      </c>
      <c r="E33" t="s">
        <v>389</v>
      </c>
    </row>
    <row r="34" spans="1:5" x14ac:dyDescent="0.25">
      <c r="A34" t="str" cm="1">
        <f t="array" ref="A34">"CS_"&amp;LEFT(B34,3)&amp;"_"&amp;ROW(34:34)</f>
        <v>CS_Tho_34</v>
      </c>
      <c r="B34" t="s">
        <v>274</v>
      </c>
      <c r="C34" t="s">
        <v>275</v>
      </c>
      <c r="D34" t="s">
        <v>217</v>
      </c>
      <c r="E34" t="s">
        <v>391</v>
      </c>
    </row>
    <row r="35" spans="1:5" x14ac:dyDescent="0.25">
      <c r="A35" t="str" cm="1">
        <f t="array" ref="A35">"CS_"&amp;LEFT(B35,3)&amp;"_"&amp;ROW(35:35)</f>
        <v>CS_Liv_35</v>
      </c>
      <c r="B35" t="s">
        <v>276</v>
      </c>
      <c r="C35" t="s">
        <v>277</v>
      </c>
      <c r="D35" t="s">
        <v>217</v>
      </c>
      <c r="E35" t="s">
        <v>382</v>
      </c>
    </row>
    <row r="36" spans="1:5" x14ac:dyDescent="0.25">
      <c r="A36" t="str" cm="1">
        <f t="array" ref="A36">"CS_"&amp;LEFT(B36,3)&amp;"_"&amp;ROW(36:36)</f>
        <v>CS_Ash_36</v>
      </c>
      <c r="B36" t="s">
        <v>278</v>
      </c>
      <c r="C36" t="s">
        <v>279</v>
      </c>
      <c r="D36" t="s">
        <v>214</v>
      </c>
      <c r="E36" t="s">
        <v>390</v>
      </c>
    </row>
    <row r="37" spans="1:5" x14ac:dyDescent="0.25">
      <c r="A37" t="str" cm="1">
        <f t="array" ref="A37">"CS_"&amp;LEFT(B37,3)&amp;"_"&amp;ROW(37:37)</f>
        <v>CS_Dav_37</v>
      </c>
      <c r="B37" t="s">
        <v>239</v>
      </c>
      <c r="C37" t="s">
        <v>280</v>
      </c>
      <c r="D37" t="s">
        <v>217</v>
      </c>
      <c r="E37" t="s">
        <v>390</v>
      </c>
    </row>
    <row r="38" spans="1:5" x14ac:dyDescent="0.25">
      <c r="A38" t="str" cm="1">
        <f t="array" ref="A38">"CS_"&amp;LEFT(B38,3)&amp;"_"&amp;ROW(38:38)</f>
        <v>CS_Far_38</v>
      </c>
      <c r="B38" t="s">
        <v>281</v>
      </c>
      <c r="C38" t="s">
        <v>282</v>
      </c>
      <c r="D38" t="s">
        <v>214</v>
      </c>
      <c r="E38" t="s">
        <v>384</v>
      </c>
    </row>
    <row r="39" spans="1:5" x14ac:dyDescent="0.25">
      <c r="A39" t="str" cm="1">
        <f t="array" ref="A39">"CS_"&amp;LEFT(B39,3)&amp;"_"&amp;ROW(39:39)</f>
        <v>CS_Col_39</v>
      </c>
      <c r="B39" t="s">
        <v>283</v>
      </c>
      <c r="C39" t="s">
        <v>284</v>
      </c>
      <c r="D39" t="s">
        <v>214</v>
      </c>
      <c r="E39" t="s">
        <v>383</v>
      </c>
    </row>
    <row r="40" spans="1:5" x14ac:dyDescent="0.25">
      <c r="A40" t="str" cm="1">
        <f t="array" ref="A40">"CS_"&amp;LEFT(B40,3)&amp;"_"&amp;ROW(40:40)</f>
        <v>CS_Mar_40</v>
      </c>
      <c r="B40" t="s">
        <v>285</v>
      </c>
      <c r="C40" t="s">
        <v>286</v>
      </c>
      <c r="D40" t="s">
        <v>217</v>
      </c>
      <c r="E40" t="s">
        <v>392</v>
      </c>
    </row>
    <row r="41" spans="1:5" x14ac:dyDescent="0.25">
      <c r="A41" t="str" cm="1">
        <f t="array" ref="A41">"CS_"&amp;LEFT(B41,3)&amp;"_"&amp;ROW(41:41)</f>
        <v>CS_Ate_41</v>
      </c>
      <c r="B41" t="s">
        <v>287</v>
      </c>
      <c r="C41" t="s">
        <v>288</v>
      </c>
      <c r="D41" t="s">
        <v>217</v>
      </c>
      <c r="E41" t="s">
        <v>384</v>
      </c>
    </row>
    <row r="42" spans="1:5" x14ac:dyDescent="0.25">
      <c r="A42" t="str" cm="1">
        <f t="array" ref="A42">"CS_"&amp;LEFT(B42,3)&amp;"_"&amp;ROW(42:42)</f>
        <v>CS_Har_42</v>
      </c>
      <c r="B42" t="s">
        <v>289</v>
      </c>
      <c r="C42" t="s">
        <v>290</v>
      </c>
      <c r="D42" t="s">
        <v>214</v>
      </c>
      <c r="E42" t="s">
        <v>384</v>
      </c>
    </row>
    <row r="43" spans="1:5" x14ac:dyDescent="0.25">
      <c r="A43" t="str" cm="1">
        <f t="array" ref="A43">"CS_"&amp;LEFT(B43,3)&amp;"_"&amp;ROW(43:43)</f>
        <v>CS_Bel_43</v>
      </c>
      <c r="B43" t="s">
        <v>241</v>
      </c>
      <c r="C43" t="s">
        <v>291</v>
      </c>
      <c r="D43" t="s">
        <v>217</v>
      </c>
      <c r="E43" t="s">
        <v>389</v>
      </c>
    </row>
    <row r="44" spans="1:5" x14ac:dyDescent="0.25">
      <c r="A44" t="str" cm="1">
        <f t="array" ref="A44">"CS_"&amp;LEFT(B44,3)&amp;"_"&amp;ROW(44:44)</f>
        <v>CS_Kel_44</v>
      </c>
      <c r="B44" t="s">
        <v>292</v>
      </c>
      <c r="C44" t="s">
        <v>293</v>
      </c>
      <c r="D44" t="s">
        <v>214</v>
      </c>
      <c r="E44" t="s">
        <v>384</v>
      </c>
    </row>
    <row r="45" spans="1:5" x14ac:dyDescent="0.25">
      <c r="A45" t="str" cm="1">
        <f t="array" ref="A45">"CS_"&amp;LEFT(B45,3)&amp;"_"&amp;ROW(45:45)</f>
        <v>CS_Tur_45</v>
      </c>
      <c r="B45" t="s">
        <v>294</v>
      </c>
      <c r="C45" t="s">
        <v>216</v>
      </c>
      <c r="D45" t="s">
        <v>217</v>
      </c>
      <c r="E45" t="s">
        <v>380</v>
      </c>
    </row>
    <row r="46" spans="1:5" x14ac:dyDescent="0.25">
      <c r="A46" t="str" cm="1">
        <f t="array" ref="A46">"CS_"&amp;LEFT(B46,3)&amp;"_"&amp;ROW(46:46)</f>
        <v>CS_Mor_46</v>
      </c>
      <c r="B46" t="s">
        <v>295</v>
      </c>
      <c r="C46" t="s">
        <v>296</v>
      </c>
      <c r="D46" t="s">
        <v>214</v>
      </c>
      <c r="E46" t="s">
        <v>386</v>
      </c>
    </row>
    <row r="47" spans="1:5" x14ac:dyDescent="0.25">
      <c r="A47" t="str" cm="1">
        <f t="array" ref="A47">"CS_"&amp;LEFT(B47,3)&amp;"_"&amp;ROW(47:47)</f>
        <v>CS_Stu_47</v>
      </c>
      <c r="B47" t="s">
        <v>297</v>
      </c>
      <c r="C47" t="s">
        <v>298</v>
      </c>
      <c r="D47" t="s">
        <v>214</v>
      </c>
      <c r="E47" t="s">
        <v>384</v>
      </c>
    </row>
    <row r="48" spans="1:5" x14ac:dyDescent="0.25">
      <c r="A48" t="str" cm="1">
        <f t="array" ref="A48">"CS_"&amp;LEFT(B48,3)&amp;"_"&amp;ROW(48:48)</f>
        <v>CS_Bry_48</v>
      </c>
      <c r="B48" t="s">
        <v>299</v>
      </c>
      <c r="C48" t="s">
        <v>235</v>
      </c>
      <c r="D48" t="s">
        <v>217</v>
      </c>
      <c r="E48" t="s">
        <v>389</v>
      </c>
    </row>
    <row r="49" spans="1:5" x14ac:dyDescent="0.25">
      <c r="A49" t="str" cm="1">
        <f t="array" ref="A49">"CS_"&amp;LEFT(B49,3)&amp;"_"&amp;ROW(49:49)</f>
        <v>CS_Nol_49</v>
      </c>
      <c r="B49" t="s">
        <v>300</v>
      </c>
      <c r="C49" t="s">
        <v>235</v>
      </c>
      <c r="D49" t="s">
        <v>217</v>
      </c>
      <c r="E49" t="s">
        <v>385</v>
      </c>
    </row>
    <row r="50" spans="1:5" x14ac:dyDescent="0.25">
      <c r="A50" t="str" cm="1">
        <f t="array" ref="A50">"CS_"&amp;LEFT(B50,3)&amp;"_"&amp;ROW(50:50)</f>
        <v>CS_All_50</v>
      </c>
      <c r="B50" t="s">
        <v>301</v>
      </c>
      <c r="C50" t="s">
        <v>302</v>
      </c>
      <c r="D50" t="s">
        <v>214</v>
      </c>
      <c r="E50" t="s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F03F-1204-4570-832E-6DEA23609C8A}">
  <dimension ref="A1:D101"/>
  <sheetViews>
    <sheetView workbookViewId="0">
      <selection activeCell="C6" sqref="C6"/>
    </sheetView>
  </sheetViews>
  <sheetFormatPr defaultRowHeight="15" x14ac:dyDescent="0.25"/>
  <cols>
    <col min="1" max="1" width="14.140625" customWidth="1"/>
    <col min="2" max="2" width="31.28515625" bestFit="1" customWidth="1"/>
    <col min="3" max="3" width="15.85546875" style="6" customWidth="1"/>
    <col min="4" max="4" width="19.7109375" customWidth="1"/>
    <col min="5" max="5" width="18.5703125" customWidth="1"/>
    <col min="6" max="6" width="15.140625" customWidth="1"/>
  </cols>
  <sheetData>
    <row r="1" spans="1:4" x14ac:dyDescent="0.25">
      <c r="A1" s="1" t="s">
        <v>356</v>
      </c>
      <c r="B1" s="1" t="s">
        <v>102</v>
      </c>
      <c r="C1" s="8" t="s">
        <v>103</v>
      </c>
      <c r="D1" s="1" t="s">
        <v>104</v>
      </c>
    </row>
    <row r="2" spans="1:4" x14ac:dyDescent="0.25">
      <c r="A2" s="2" t="s">
        <v>2</v>
      </c>
      <c r="B2" t="s">
        <v>111</v>
      </c>
      <c r="C2" s="6">
        <v>66</v>
      </c>
      <c r="D2" t="s">
        <v>105</v>
      </c>
    </row>
    <row r="3" spans="1:4" x14ac:dyDescent="0.25">
      <c r="A3" s="2" t="s">
        <v>3</v>
      </c>
      <c r="B3" t="s">
        <v>112</v>
      </c>
      <c r="C3" s="6">
        <v>74</v>
      </c>
      <c r="D3" t="s">
        <v>105</v>
      </c>
    </row>
    <row r="4" spans="1:4" x14ac:dyDescent="0.25">
      <c r="A4" s="2" t="s">
        <v>4</v>
      </c>
      <c r="B4" t="s">
        <v>113</v>
      </c>
      <c r="C4" s="6">
        <v>71</v>
      </c>
      <c r="D4" t="s">
        <v>105</v>
      </c>
    </row>
    <row r="5" spans="1:4" x14ac:dyDescent="0.25">
      <c r="A5" s="2" t="s">
        <v>5</v>
      </c>
      <c r="B5" t="s">
        <v>114</v>
      </c>
      <c r="C5" s="6">
        <v>80</v>
      </c>
      <c r="D5" t="s">
        <v>105</v>
      </c>
    </row>
    <row r="6" spans="1:4" x14ac:dyDescent="0.25">
      <c r="A6" s="2" t="s">
        <v>6</v>
      </c>
      <c r="B6" t="s">
        <v>115</v>
      </c>
      <c r="C6" s="6">
        <v>69</v>
      </c>
      <c r="D6" t="s">
        <v>105</v>
      </c>
    </row>
    <row r="7" spans="1:4" x14ac:dyDescent="0.25">
      <c r="A7" s="2" t="s">
        <v>7</v>
      </c>
      <c r="B7" t="s">
        <v>116</v>
      </c>
      <c r="C7" s="6">
        <v>74</v>
      </c>
      <c r="D7" t="s">
        <v>105</v>
      </c>
    </row>
    <row r="8" spans="1:4" x14ac:dyDescent="0.25">
      <c r="A8" s="2" t="s">
        <v>8</v>
      </c>
      <c r="B8" t="s">
        <v>117</v>
      </c>
      <c r="C8" s="6">
        <v>63</v>
      </c>
      <c r="D8" t="s">
        <v>105</v>
      </c>
    </row>
    <row r="9" spans="1:4" x14ac:dyDescent="0.25">
      <c r="A9" s="2" t="s">
        <v>9</v>
      </c>
      <c r="B9" t="s">
        <v>118</v>
      </c>
      <c r="C9" s="6">
        <v>80</v>
      </c>
      <c r="D9" t="s">
        <v>105</v>
      </c>
    </row>
    <row r="10" spans="1:4" x14ac:dyDescent="0.25">
      <c r="A10" s="2" t="s">
        <v>10</v>
      </c>
      <c r="B10" t="s">
        <v>119</v>
      </c>
      <c r="C10" s="6">
        <v>72</v>
      </c>
      <c r="D10" t="s">
        <v>105</v>
      </c>
    </row>
    <row r="11" spans="1:4" x14ac:dyDescent="0.25">
      <c r="A11" s="2" t="s">
        <v>11</v>
      </c>
      <c r="B11" t="s">
        <v>120</v>
      </c>
      <c r="C11" s="6">
        <v>78</v>
      </c>
      <c r="D11" t="s">
        <v>105</v>
      </c>
    </row>
    <row r="12" spans="1:4" x14ac:dyDescent="0.25">
      <c r="A12" s="2" t="s">
        <v>12</v>
      </c>
      <c r="B12" t="s">
        <v>121</v>
      </c>
      <c r="C12" s="6">
        <v>74</v>
      </c>
      <c r="D12" t="s">
        <v>105</v>
      </c>
    </row>
    <row r="13" spans="1:4" x14ac:dyDescent="0.25">
      <c r="A13" s="2" t="s">
        <v>13</v>
      </c>
      <c r="B13" t="s">
        <v>122</v>
      </c>
      <c r="C13" s="6">
        <v>71</v>
      </c>
      <c r="D13" t="s">
        <v>105</v>
      </c>
    </row>
    <row r="14" spans="1:4" x14ac:dyDescent="0.25">
      <c r="A14" s="2" t="s">
        <v>14</v>
      </c>
      <c r="B14" t="s">
        <v>123</v>
      </c>
      <c r="C14" s="6">
        <v>79</v>
      </c>
      <c r="D14" t="s">
        <v>105</v>
      </c>
    </row>
    <row r="15" spans="1:4" x14ac:dyDescent="0.25">
      <c r="A15" s="2" t="s">
        <v>15</v>
      </c>
      <c r="B15" t="s">
        <v>124</v>
      </c>
      <c r="C15" s="6">
        <v>35</v>
      </c>
      <c r="D15" t="s">
        <v>106</v>
      </c>
    </row>
    <row r="16" spans="1:4" x14ac:dyDescent="0.25">
      <c r="A16" s="2" t="s">
        <v>16</v>
      </c>
      <c r="B16" t="s">
        <v>125</v>
      </c>
      <c r="C16" s="6">
        <v>30</v>
      </c>
      <c r="D16" t="s">
        <v>106</v>
      </c>
    </row>
    <row r="17" spans="1:4" x14ac:dyDescent="0.25">
      <c r="A17" s="2" t="s">
        <v>17</v>
      </c>
      <c r="B17" t="s">
        <v>126</v>
      </c>
      <c r="C17" s="6">
        <v>32</v>
      </c>
      <c r="D17" t="s">
        <v>106</v>
      </c>
    </row>
    <row r="18" spans="1:4" x14ac:dyDescent="0.25">
      <c r="A18" s="2" t="s">
        <v>18</v>
      </c>
      <c r="B18" t="s">
        <v>127</v>
      </c>
      <c r="C18" s="6">
        <v>35</v>
      </c>
      <c r="D18" t="s">
        <v>106</v>
      </c>
    </row>
    <row r="19" spans="1:4" x14ac:dyDescent="0.25">
      <c r="A19" s="2" t="s">
        <v>19</v>
      </c>
      <c r="B19" t="s">
        <v>128</v>
      </c>
      <c r="C19" s="6">
        <v>33</v>
      </c>
      <c r="D19" t="s">
        <v>106</v>
      </c>
    </row>
    <row r="20" spans="1:4" x14ac:dyDescent="0.25">
      <c r="A20" s="2" t="s">
        <v>20</v>
      </c>
      <c r="B20" t="s">
        <v>129</v>
      </c>
      <c r="C20" s="6">
        <v>33</v>
      </c>
      <c r="D20" t="s">
        <v>106</v>
      </c>
    </row>
    <row r="21" spans="1:4" x14ac:dyDescent="0.25">
      <c r="A21" s="2" t="s">
        <v>21</v>
      </c>
      <c r="B21" t="s">
        <v>134</v>
      </c>
      <c r="C21" s="6">
        <v>33</v>
      </c>
      <c r="D21" t="s">
        <v>107</v>
      </c>
    </row>
    <row r="22" spans="1:4" x14ac:dyDescent="0.25">
      <c r="A22" s="2" t="s">
        <v>22</v>
      </c>
      <c r="B22" t="s">
        <v>130</v>
      </c>
      <c r="C22" s="6">
        <v>34</v>
      </c>
      <c r="D22" t="s">
        <v>107</v>
      </c>
    </row>
    <row r="23" spans="1:4" x14ac:dyDescent="0.25">
      <c r="A23" s="2" t="s">
        <v>23</v>
      </c>
      <c r="B23" t="s">
        <v>131</v>
      </c>
      <c r="C23" s="6">
        <v>31</v>
      </c>
      <c r="D23" t="s">
        <v>107</v>
      </c>
    </row>
    <row r="24" spans="1:4" x14ac:dyDescent="0.25">
      <c r="A24" s="2" t="s">
        <v>24</v>
      </c>
      <c r="B24" t="s">
        <v>132</v>
      </c>
      <c r="C24" s="6">
        <v>33</v>
      </c>
      <c r="D24" t="s">
        <v>107</v>
      </c>
    </row>
    <row r="25" spans="1:4" x14ac:dyDescent="0.25">
      <c r="A25" s="2" t="s">
        <v>25</v>
      </c>
      <c r="B25" t="s">
        <v>133</v>
      </c>
      <c r="C25" s="6">
        <v>33</v>
      </c>
      <c r="D25" t="s">
        <v>107</v>
      </c>
    </row>
    <row r="26" spans="1:4" x14ac:dyDescent="0.25">
      <c r="A26" s="2" t="s">
        <v>26</v>
      </c>
      <c r="B26" t="s">
        <v>135</v>
      </c>
      <c r="C26" s="6">
        <v>33</v>
      </c>
      <c r="D26" t="s">
        <v>107</v>
      </c>
    </row>
    <row r="27" spans="1:4" x14ac:dyDescent="0.25">
      <c r="A27" s="2" t="s">
        <v>27</v>
      </c>
      <c r="B27" t="s">
        <v>136</v>
      </c>
      <c r="C27" s="6">
        <v>34</v>
      </c>
      <c r="D27" t="s">
        <v>107</v>
      </c>
    </row>
    <row r="28" spans="1:4" x14ac:dyDescent="0.25">
      <c r="A28" s="2" t="s">
        <v>28</v>
      </c>
      <c r="B28" t="s">
        <v>137</v>
      </c>
      <c r="C28" s="6">
        <v>30</v>
      </c>
      <c r="D28" t="s">
        <v>107</v>
      </c>
    </row>
    <row r="29" spans="1:4" x14ac:dyDescent="0.25">
      <c r="A29" s="2" t="s">
        <v>29</v>
      </c>
      <c r="B29" t="s">
        <v>138</v>
      </c>
      <c r="C29" s="6">
        <v>31</v>
      </c>
      <c r="D29" t="s">
        <v>107</v>
      </c>
    </row>
    <row r="30" spans="1:4" x14ac:dyDescent="0.25">
      <c r="A30" s="2" t="s">
        <v>30</v>
      </c>
      <c r="B30" t="s">
        <v>139</v>
      </c>
      <c r="C30" s="6">
        <v>35</v>
      </c>
      <c r="D30" t="s">
        <v>107</v>
      </c>
    </row>
    <row r="31" spans="1:4" x14ac:dyDescent="0.25">
      <c r="A31" s="2" t="s">
        <v>31</v>
      </c>
      <c r="B31" t="s">
        <v>140</v>
      </c>
      <c r="C31" s="6">
        <v>32</v>
      </c>
      <c r="D31" t="s">
        <v>107</v>
      </c>
    </row>
    <row r="32" spans="1:4" x14ac:dyDescent="0.25">
      <c r="A32" s="2" t="s">
        <v>32</v>
      </c>
      <c r="B32" t="s">
        <v>141</v>
      </c>
      <c r="C32" s="6">
        <v>34</v>
      </c>
      <c r="D32" t="s">
        <v>107</v>
      </c>
    </row>
    <row r="33" spans="1:4" x14ac:dyDescent="0.25">
      <c r="A33" s="2" t="s">
        <v>33</v>
      </c>
      <c r="B33" t="s">
        <v>142</v>
      </c>
      <c r="C33" s="6">
        <v>33</v>
      </c>
      <c r="D33" t="s">
        <v>107</v>
      </c>
    </row>
    <row r="34" spans="1:4" x14ac:dyDescent="0.25">
      <c r="A34" s="2" t="s">
        <v>34</v>
      </c>
      <c r="B34" t="s">
        <v>143</v>
      </c>
      <c r="C34" s="6">
        <v>35</v>
      </c>
      <c r="D34" t="s">
        <v>107</v>
      </c>
    </row>
    <row r="35" spans="1:4" x14ac:dyDescent="0.25">
      <c r="A35" s="2" t="s">
        <v>35</v>
      </c>
      <c r="B35" t="s">
        <v>144</v>
      </c>
      <c r="C35" s="6">
        <v>30</v>
      </c>
      <c r="D35" t="s">
        <v>107</v>
      </c>
    </row>
    <row r="36" spans="1:4" x14ac:dyDescent="0.25">
      <c r="A36" s="2" t="s">
        <v>36</v>
      </c>
      <c r="B36" t="s">
        <v>145</v>
      </c>
      <c r="C36" s="6">
        <v>34</v>
      </c>
      <c r="D36" t="s">
        <v>107</v>
      </c>
    </row>
    <row r="37" spans="1:4" x14ac:dyDescent="0.25">
      <c r="A37" s="2" t="s">
        <v>37</v>
      </c>
      <c r="B37" t="s">
        <v>146</v>
      </c>
      <c r="C37" s="6">
        <v>33</v>
      </c>
      <c r="D37" t="s">
        <v>108</v>
      </c>
    </row>
    <row r="38" spans="1:4" x14ac:dyDescent="0.25">
      <c r="A38" s="2" t="s">
        <v>38</v>
      </c>
      <c r="B38" t="s">
        <v>147</v>
      </c>
      <c r="C38" s="6">
        <v>32</v>
      </c>
      <c r="D38" t="s">
        <v>108</v>
      </c>
    </row>
    <row r="39" spans="1:4" x14ac:dyDescent="0.25">
      <c r="A39" s="2" t="s">
        <v>39</v>
      </c>
      <c r="B39" t="s">
        <v>148</v>
      </c>
      <c r="C39" s="6">
        <v>32</v>
      </c>
      <c r="D39" t="s">
        <v>108</v>
      </c>
    </row>
    <row r="40" spans="1:4" x14ac:dyDescent="0.25">
      <c r="A40" s="2" t="s">
        <v>40</v>
      </c>
      <c r="B40" t="s">
        <v>149</v>
      </c>
      <c r="C40" s="6">
        <v>34</v>
      </c>
      <c r="D40" t="s">
        <v>108</v>
      </c>
    </row>
    <row r="41" spans="1:4" x14ac:dyDescent="0.25">
      <c r="A41" s="2" t="s">
        <v>41</v>
      </c>
      <c r="B41" t="s">
        <v>150</v>
      </c>
      <c r="C41" s="6">
        <v>33</v>
      </c>
      <c r="D41" t="s">
        <v>108</v>
      </c>
    </row>
    <row r="42" spans="1:4" x14ac:dyDescent="0.25">
      <c r="A42" s="2" t="s">
        <v>42</v>
      </c>
      <c r="B42" t="s">
        <v>151</v>
      </c>
      <c r="C42" s="6">
        <v>34</v>
      </c>
      <c r="D42" t="s">
        <v>108</v>
      </c>
    </row>
    <row r="43" spans="1:4" x14ac:dyDescent="0.25">
      <c r="A43" s="2" t="s">
        <v>43</v>
      </c>
      <c r="B43" t="s">
        <v>152</v>
      </c>
      <c r="C43" s="6">
        <v>33</v>
      </c>
      <c r="D43" t="s">
        <v>108</v>
      </c>
    </row>
    <row r="44" spans="1:4" x14ac:dyDescent="0.25">
      <c r="A44" s="2" t="s">
        <v>44</v>
      </c>
      <c r="B44" t="s">
        <v>153</v>
      </c>
      <c r="C44" s="6">
        <v>31</v>
      </c>
      <c r="D44" t="s">
        <v>109</v>
      </c>
    </row>
    <row r="45" spans="1:4" x14ac:dyDescent="0.25">
      <c r="A45" s="2" t="s">
        <v>45</v>
      </c>
      <c r="B45" t="s">
        <v>154</v>
      </c>
      <c r="C45" s="6">
        <v>30</v>
      </c>
      <c r="D45" t="s">
        <v>109</v>
      </c>
    </row>
    <row r="46" spans="1:4" x14ac:dyDescent="0.25">
      <c r="A46" s="2" t="s">
        <v>46</v>
      </c>
      <c r="B46" t="s">
        <v>155</v>
      </c>
      <c r="C46" s="6">
        <v>30</v>
      </c>
      <c r="D46" t="s">
        <v>109</v>
      </c>
    </row>
    <row r="47" spans="1:4" x14ac:dyDescent="0.25">
      <c r="A47" s="2" t="s">
        <v>47</v>
      </c>
      <c r="B47" t="s">
        <v>156</v>
      </c>
      <c r="C47" s="6">
        <v>32</v>
      </c>
      <c r="D47" t="s">
        <v>109</v>
      </c>
    </row>
    <row r="48" spans="1:4" x14ac:dyDescent="0.25">
      <c r="A48" s="2" t="s">
        <v>48</v>
      </c>
      <c r="B48" t="s">
        <v>157</v>
      </c>
      <c r="C48" s="6">
        <v>33</v>
      </c>
      <c r="D48" t="s">
        <v>109</v>
      </c>
    </row>
    <row r="49" spans="1:4" x14ac:dyDescent="0.25">
      <c r="A49" s="2" t="s">
        <v>49</v>
      </c>
      <c r="B49" t="s">
        <v>158</v>
      </c>
      <c r="C49" s="6">
        <v>33</v>
      </c>
      <c r="D49" t="s">
        <v>109</v>
      </c>
    </row>
    <row r="50" spans="1:4" x14ac:dyDescent="0.25">
      <c r="A50" s="2" t="s">
        <v>50</v>
      </c>
      <c r="B50" t="s">
        <v>159</v>
      </c>
      <c r="C50" s="6">
        <v>32</v>
      </c>
      <c r="D50" t="s">
        <v>109</v>
      </c>
    </row>
    <row r="51" spans="1:4" x14ac:dyDescent="0.25">
      <c r="A51" s="2" t="s">
        <v>51</v>
      </c>
      <c r="B51" t="s">
        <v>160</v>
      </c>
      <c r="C51" s="6">
        <v>31</v>
      </c>
      <c r="D51" t="s">
        <v>109</v>
      </c>
    </row>
    <row r="52" spans="1:4" x14ac:dyDescent="0.25">
      <c r="A52" s="2" t="s">
        <v>52</v>
      </c>
      <c r="B52" t="s">
        <v>161</v>
      </c>
      <c r="C52" s="6">
        <v>33</v>
      </c>
      <c r="D52" t="s">
        <v>109</v>
      </c>
    </row>
    <row r="53" spans="1:4" x14ac:dyDescent="0.25">
      <c r="A53" s="2" t="s">
        <v>53</v>
      </c>
      <c r="B53" t="s">
        <v>162</v>
      </c>
      <c r="C53" s="6">
        <v>32</v>
      </c>
      <c r="D53" t="s">
        <v>109</v>
      </c>
    </row>
    <row r="54" spans="1:4" x14ac:dyDescent="0.25">
      <c r="A54" s="2" t="s">
        <v>54</v>
      </c>
      <c r="B54" t="s">
        <v>163</v>
      </c>
      <c r="C54" s="6">
        <v>35</v>
      </c>
      <c r="D54" t="s">
        <v>109</v>
      </c>
    </row>
    <row r="55" spans="1:4" x14ac:dyDescent="0.25">
      <c r="A55" s="2" t="s">
        <v>55</v>
      </c>
      <c r="B55" t="s">
        <v>164</v>
      </c>
      <c r="C55" s="6">
        <v>32</v>
      </c>
      <c r="D55" t="s">
        <v>109</v>
      </c>
    </row>
    <row r="56" spans="1:4" x14ac:dyDescent="0.25">
      <c r="A56" s="2" t="s">
        <v>56</v>
      </c>
      <c r="B56" t="s">
        <v>165</v>
      </c>
      <c r="C56" s="6">
        <v>30</v>
      </c>
      <c r="D56" t="s">
        <v>109</v>
      </c>
    </row>
    <row r="57" spans="1:4" x14ac:dyDescent="0.25">
      <c r="A57" s="2" t="s">
        <v>57</v>
      </c>
      <c r="B57" t="s">
        <v>166</v>
      </c>
      <c r="C57" s="6">
        <v>35</v>
      </c>
      <c r="D57" t="s">
        <v>109</v>
      </c>
    </row>
    <row r="58" spans="1:4" x14ac:dyDescent="0.25">
      <c r="A58" s="2" t="s">
        <v>58</v>
      </c>
      <c r="B58" t="s">
        <v>167</v>
      </c>
      <c r="C58" s="6">
        <v>35</v>
      </c>
      <c r="D58" t="s">
        <v>109</v>
      </c>
    </row>
    <row r="59" spans="1:4" x14ac:dyDescent="0.25">
      <c r="A59" s="2" t="s">
        <v>59</v>
      </c>
      <c r="B59" t="s">
        <v>168</v>
      </c>
      <c r="C59" s="6">
        <v>35</v>
      </c>
      <c r="D59" t="s">
        <v>109</v>
      </c>
    </row>
    <row r="60" spans="1:4" x14ac:dyDescent="0.25">
      <c r="A60" s="2" t="s">
        <v>60</v>
      </c>
      <c r="B60" t="s">
        <v>169</v>
      </c>
      <c r="C60" s="6">
        <v>30</v>
      </c>
      <c r="D60" t="s">
        <v>109</v>
      </c>
    </row>
    <row r="61" spans="1:4" x14ac:dyDescent="0.25">
      <c r="A61" s="2" t="s">
        <v>61</v>
      </c>
      <c r="B61" t="s">
        <v>170</v>
      </c>
      <c r="C61" s="6">
        <v>31</v>
      </c>
      <c r="D61" t="s">
        <v>109</v>
      </c>
    </row>
    <row r="62" spans="1:4" x14ac:dyDescent="0.25">
      <c r="A62" s="2" t="s">
        <v>62</v>
      </c>
      <c r="B62" t="s">
        <v>171</v>
      </c>
      <c r="C62" s="6">
        <v>32</v>
      </c>
      <c r="D62" t="s">
        <v>109</v>
      </c>
    </row>
    <row r="63" spans="1:4" x14ac:dyDescent="0.25">
      <c r="A63" s="2" t="s">
        <v>63</v>
      </c>
      <c r="B63" t="s">
        <v>172</v>
      </c>
      <c r="C63" s="6">
        <v>33</v>
      </c>
      <c r="D63" t="s">
        <v>109</v>
      </c>
    </row>
    <row r="64" spans="1:4" x14ac:dyDescent="0.25">
      <c r="A64" s="2" t="s">
        <v>64</v>
      </c>
      <c r="B64" t="s">
        <v>173</v>
      </c>
      <c r="C64" s="6">
        <v>35</v>
      </c>
      <c r="D64" t="s">
        <v>109</v>
      </c>
    </row>
    <row r="65" spans="1:4" x14ac:dyDescent="0.25">
      <c r="A65" s="2" t="s">
        <v>65</v>
      </c>
      <c r="B65" t="s">
        <v>174</v>
      </c>
      <c r="C65" s="6">
        <v>32</v>
      </c>
      <c r="D65" t="s">
        <v>109</v>
      </c>
    </row>
    <row r="66" spans="1:4" x14ac:dyDescent="0.25">
      <c r="A66" s="2" t="s">
        <v>66</v>
      </c>
      <c r="B66" t="s">
        <v>175</v>
      </c>
      <c r="C66" s="6">
        <v>30</v>
      </c>
      <c r="D66" t="s">
        <v>109</v>
      </c>
    </row>
    <row r="67" spans="1:4" x14ac:dyDescent="0.25">
      <c r="A67" s="2" t="s">
        <v>67</v>
      </c>
      <c r="B67" t="s">
        <v>176</v>
      </c>
      <c r="C67" s="6">
        <v>32</v>
      </c>
      <c r="D67" t="s">
        <v>109</v>
      </c>
    </row>
    <row r="68" spans="1:4" x14ac:dyDescent="0.25">
      <c r="A68" s="2" t="s">
        <v>68</v>
      </c>
      <c r="B68" t="s">
        <v>177</v>
      </c>
      <c r="C68" s="6">
        <v>32</v>
      </c>
      <c r="D68" t="s">
        <v>109</v>
      </c>
    </row>
    <row r="69" spans="1:4" x14ac:dyDescent="0.25">
      <c r="A69" s="2" t="s">
        <v>69</v>
      </c>
      <c r="B69" t="s">
        <v>178</v>
      </c>
      <c r="C69" s="6">
        <v>30</v>
      </c>
      <c r="D69" t="s">
        <v>109</v>
      </c>
    </row>
    <row r="70" spans="1:4" x14ac:dyDescent="0.25">
      <c r="A70" s="2" t="s">
        <v>70</v>
      </c>
      <c r="B70" t="s">
        <v>179</v>
      </c>
      <c r="C70" s="6">
        <v>35</v>
      </c>
      <c r="D70" t="s">
        <v>109</v>
      </c>
    </row>
    <row r="71" spans="1:4" x14ac:dyDescent="0.25">
      <c r="A71" s="2" t="s">
        <v>71</v>
      </c>
      <c r="B71" t="s">
        <v>180</v>
      </c>
      <c r="C71" s="6">
        <v>34</v>
      </c>
      <c r="D71" t="s">
        <v>109</v>
      </c>
    </row>
    <row r="72" spans="1:4" x14ac:dyDescent="0.25">
      <c r="A72" s="2" t="s">
        <v>72</v>
      </c>
      <c r="B72" t="s">
        <v>181</v>
      </c>
      <c r="C72" s="6">
        <v>31</v>
      </c>
      <c r="D72" t="s">
        <v>109</v>
      </c>
    </row>
    <row r="73" spans="1:4" x14ac:dyDescent="0.25">
      <c r="A73" s="2" t="s">
        <v>73</v>
      </c>
      <c r="B73" t="s">
        <v>182</v>
      </c>
      <c r="C73" s="6">
        <v>35</v>
      </c>
      <c r="D73" t="s">
        <v>109</v>
      </c>
    </row>
    <row r="74" spans="1:4" x14ac:dyDescent="0.25">
      <c r="A74" s="2" t="s">
        <v>74</v>
      </c>
      <c r="B74" t="s">
        <v>183</v>
      </c>
      <c r="C74" s="6">
        <v>34</v>
      </c>
      <c r="D74" t="s">
        <v>109</v>
      </c>
    </row>
    <row r="75" spans="1:4" x14ac:dyDescent="0.25">
      <c r="A75" s="2" t="s">
        <v>75</v>
      </c>
      <c r="B75" t="s">
        <v>184</v>
      </c>
      <c r="C75" s="6">
        <v>34</v>
      </c>
      <c r="D75" t="s">
        <v>109</v>
      </c>
    </row>
    <row r="76" spans="1:4" x14ac:dyDescent="0.25">
      <c r="A76" s="2" t="s">
        <v>76</v>
      </c>
      <c r="B76" t="s">
        <v>185</v>
      </c>
      <c r="C76" s="6">
        <v>34</v>
      </c>
      <c r="D76" t="s">
        <v>109</v>
      </c>
    </row>
    <row r="77" spans="1:4" x14ac:dyDescent="0.25">
      <c r="A77" s="2" t="s">
        <v>77</v>
      </c>
      <c r="B77" t="s">
        <v>186</v>
      </c>
      <c r="C77" s="6">
        <v>34</v>
      </c>
      <c r="D77" t="s">
        <v>109</v>
      </c>
    </row>
    <row r="78" spans="1:4" x14ac:dyDescent="0.25">
      <c r="A78" s="2" t="s">
        <v>78</v>
      </c>
      <c r="B78" t="s">
        <v>187</v>
      </c>
      <c r="C78" s="6">
        <v>34</v>
      </c>
      <c r="D78" t="s">
        <v>109</v>
      </c>
    </row>
    <row r="79" spans="1:4" x14ac:dyDescent="0.25">
      <c r="A79" s="2" t="s">
        <v>79</v>
      </c>
      <c r="B79" t="s">
        <v>188</v>
      </c>
      <c r="C79" s="6">
        <v>34</v>
      </c>
      <c r="D79" t="s">
        <v>109</v>
      </c>
    </row>
    <row r="80" spans="1:4" x14ac:dyDescent="0.25">
      <c r="A80" s="2" t="s">
        <v>80</v>
      </c>
      <c r="B80" t="s">
        <v>189</v>
      </c>
      <c r="C80" s="6">
        <v>31</v>
      </c>
      <c r="D80" t="s">
        <v>109</v>
      </c>
    </row>
    <row r="81" spans="1:4" x14ac:dyDescent="0.25">
      <c r="A81" s="2" t="s">
        <v>81</v>
      </c>
      <c r="B81" t="s">
        <v>190</v>
      </c>
      <c r="C81" s="6">
        <v>32</v>
      </c>
      <c r="D81" t="s">
        <v>109</v>
      </c>
    </row>
    <row r="82" spans="1:4" x14ac:dyDescent="0.25">
      <c r="A82" s="2" t="s">
        <v>82</v>
      </c>
      <c r="B82" t="s">
        <v>191</v>
      </c>
      <c r="C82" s="6">
        <v>32</v>
      </c>
      <c r="D82" t="s">
        <v>109</v>
      </c>
    </row>
    <row r="83" spans="1:4" x14ac:dyDescent="0.25">
      <c r="A83" s="2" t="s">
        <v>83</v>
      </c>
      <c r="B83" t="s">
        <v>192</v>
      </c>
      <c r="C83" s="6">
        <v>30</v>
      </c>
      <c r="D83" t="s">
        <v>109</v>
      </c>
    </row>
    <row r="84" spans="1:4" x14ac:dyDescent="0.25">
      <c r="A84" s="2" t="s">
        <v>84</v>
      </c>
      <c r="B84" t="s">
        <v>193</v>
      </c>
      <c r="C84" s="6">
        <v>35</v>
      </c>
      <c r="D84" t="s">
        <v>109</v>
      </c>
    </row>
    <row r="85" spans="1:4" x14ac:dyDescent="0.25">
      <c r="A85" s="2" t="s">
        <v>85</v>
      </c>
      <c r="B85" t="s">
        <v>194</v>
      </c>
      <c r="C85" s="6">
        <v>33</v>
      </c>
      <c r="D85" t="s">
        <v>109</v>
      </c>
    </row>
    <row r="86" spans="1:4" x14ac:dyDescent="0.25">
      <c r="A86" s="2" t="s">
        <v>86</v>
      </c>
      <c r="B86" t="s">
        <v>195</v>
      </c>
      <c r="C86" s="6">
        <v>34</v>
      </c>
      <c r="D86" t="s">
        <v>109</v>
      </c>
    </row>
    <row r="87" spans="1:4" x14ac:dyDescent="0.25">
      <c r="A87" s="2" t="s">
        <v>87</v>
      </c>
      <c r="B87" t="s">
        <v>196</v>
      </c>
      <c r="C87" s="6">
        <v>13</v>
      </c>
      <c r="D87" t="s">
        <v>110</v>
      </c>
    </row>
    <row r="88" spans="1:4" x14ac:dyDescent="0.25">
      <c r="A88" s="2" t="s">
        <v>88</v>
      </c>
      <c r="B88" t="s">
        <v>197</v>
      </c>
      <c r="C88" s="6">
        <v>17</v>
      </c>
      <c r="D88" t="s">
        <v>110</v>
      </c>
    </row>
    <row r="89" spans="1:4" x14ac:dyDescent="0.25">
      <c r="A89" s="2" t="s">
        <v>89</v>
      </c>
      <c r="B89" t="s">
        <v>198</v>
      </c>
      <c r="C89" s="6">
        <v>20</v>
      </c>
      <c r="D89" t="s">
        <v>110</v>
      </c>
    </row>
    <row r="90" spans="1:4" x14ac:dyDescent="0.25">
      <c r="A90" s="2" t="s">
        <v>90</v>
      </c>
      <c r="B90" t="s">
        <v>199</v>
      </c>
      <c r="C90" s="6">
        <v>10</v>
      </c>
      <c r="D90" t="s">
        <v>110</v>
      </c>
    </row>
    <row r="91" spans="1:4" x14ac:dyDescent="0.25">
      <c r="A91" s="2" t="s">
        <v>91</v>
      </c>
      <c r="B91" t="s">
        <v>200</v>
      </c>
      <c r="C91" s="6">
        <v>17</v>
      </c>
      <c r="D91" t="s">
        <v>110</v>
      </c>
    </row>
    <row r="92" spans="1:4" x14ac:dyDescent="0.25">
      <c r="A92" s="2" t="s">
        <v>92</v>
      </c>
      <c r="B92" t="s">
        <v>201</v>
      </c>
      <c r="C92" s="6">
        <v>14</v>
      </c>
      <c r="D92" t="s">
        <v>110</v>
      </c>
    </row>
    <row r="93" spans="1:4" x14ac:dyDescent="0.25">
      <c r="A93" s="2" t="s">
        <v>93</v>
      </c>
      <c r="B93" t="s">
        <v>202</v>
      </c>
      <c r="C93" s="6">
        <v>17</v>
      </c>
      <c r="D93" t="s">
        <v>110</v>
      </c>
    </row>
    <row r="94" spans="1:4" x14ac:dyDescent="0.25">
      <c r="A94" s="2" t="s">
        <v>94</v>
      </c>
      <c r="B94" t="s">
        <v>203</v>
      </c>
      <c r="C94" s="6">
        <v>19</v>
      </c>
      <c r="D94" t="s">
        <v>110</v>
      </c>
    </row>
    <row r="95" spans="1:4" x14ac:dyDescent="0.25">
      <c r="A95" s="2" t="s">
        <v>95</v>
      </c>
      <c r="B95" t="s">
        <v>204</v>
      </c>
      <c r="C95" s="6">
        <v>12</v>
      </c>
      <c r="D95" t="s">
        <v>110</v>
      </c>
    </row>
    <row r="96" spans="1:4" x14ac:dyDescent="0.25">
      <c r="A96" s="2" t="s">
        <v>96</v>
      </c>
      <c r="B96" t="s">
        <v>205</v>
      </c>
      <c r="C96" s="6">
        <v>10</v>
      </c>
      <c r="D96" t="s">
        <v>110</v>
      </c>
    </row>
    <row r="97" spans="1:4" x14ac:dyDescent="0.25">
      <c r="A97" s="2" t="s">
        <v>97</v>
      </c>
      <c r="B97" t="s">
        <v>206</v>
      </c>
      <c r="C97" s="6">
        <v>10</v>
      </c>
      <c r="D97" t="s">
        <v>110</v>
      </c>
    </row>
    <row r="98" spans="1:4" x14ac:dyDescent="0.25">
      <c r="A98" s="2" t="s">
        <v>98</v>
      </c>
      <c r="B98" t="s">
        <v>207</v>
      </c>
      <c r="C98" s="6">
        <v>19</v>
      </c>
      <c r="D98" t="s">
        <v>110</v>
      </c>
    </row>
    <row r="99" spans="1:4" x14ac:dyDescent="0.25">
      <c r="A99" s="2" t="s">
        <v>99</v>
      </c>
      <c r="B99" t="s">
        <v>208</v>
      </c>
      <c r="C99" s="6">
        <v>15</v>
      </c>
      <c r="D99" t="s">
        <v>110</v>
      </c>
    </row>
    <row r="100" spans="1:4" x14ac:dyDescent="0.25">
      <c r="A100" s="2" t="s">
        <v>100</v>
      </c>
      <c r="B100" t="s">
        <v>209</v>
      </c>
      <c r="C100" s="6">
        <v>15</v>
      </c>
      <c r="D100" t="s">
        <v>110</v>
      </c>
    </row>
    <row r="101" spans="1:4" x14ac:dyDescent="0.25">
      <c r="A101" s="2" t="s">
        <v>101</v>
      </c>
      <c r="B101" t="s">
        <v>210</v>
      </c>
      <c r="C101" s="6">
        <v>10</v>
      </c>
      <c r="D101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6A87-E091-48C1-8AFD-E4C049188FF4}">
  <dimension ref="A1:D15"/>
  <sheetViews>
    <sheetView workbookViewId="0">
      <selection activeCell="A6" sqref="A6"/>
    </sheetView>
  </sheetViews>
  <sheetFormatPr defaultRowHeight="15" x14ac:dyDescent="0.25"/>
  <cols>
    <col min="1" max="1" width="15.28515625" customWidth="1"/>
    <col min="2" max="2" width="16" customWidth="1"/>
    <col min="3" max="3" width="20.7109375" customWidth="1"/>
    <col min="4" max="4" width="9.85546875" bestFit="1" customWidth="1"/>
  </cols>
  <sheetData>
    <row r="1" spans="1:4" s="1" customFormat="1" x14ac:dyDescent="0.25">
      <c r="A1" s="1" t="s">
        <v>359</v>
      </c>
      <c r="B1" s="1" t="s">
        <v>360</v>
      </c>
      <c r="C1" s="1" t="s">
        <v>361</v>
      </c>
      <c r="D1" s="1" t="s">
        <v>362</v>
      </c>
    </row>
    <row r="2" spans="1:4" x14ac:dyDescent="0.25">
      <c r="A2" t="str">
        <f>"St_"&amp;LEFT(B2,3)&amp;"_"&amp;LEFT(C2,2)</f>
        <v>St_Atl_Ge</v>
      </c>
      <c r="B2" t="s">
        <v>380</v>
      </c>
      <c r="C2" t="s">
        <v>363</v>
      </c>
      <c r="D2" t="s">
        <v>367</v>
      </c>
    </row>
    <row r="3" spans="1:4" x14ac:dyDescent="0.25">
      <c r="A3" t="str">
        <f t="shared" ref="A3:A15" si="0">"St_"&amp;LEFT(B3,3)&amp;"_"&amp;LEFT(C3,2)</f>
        <v>St_Mia_Fl</v>
      </c>
      <c r="B3" t="s">
        <v>381</v>
      </c>
      <c r="C3" t="s">
        <v>364</v>
      </c>
      <c r="D3" t="s">
        <v>367</v>
      </c>
    </row>
    <row r="4" spans="1:4" x14ac:dyDescent="0.25">
      <c r="A4" t="str">
        <f t="shared" si="0"/>
        <v>St_Bal_Ma</v>
      </c>
      <c r="B4" t="s">
        <v>382</v>
      </c>
      <c r="C4" t="s">
        <v>365</v>
      </c>
      <c r="D4" t="s">
        <v>367</v>
      </c>
    </row>
    <row r="5" spans="1:4" x14ac:dyDescent="0.25">
      <c r="A5" t="str">
        <f t="shared" si="0"/>
        <v>St_Cha_No</v>
      </c>
      <c r="B5" t="s">
        <v>383</v>
      </c>
      <c r="C5" t="s">
        <v>366</v>
      </c>
      <c r="D5" t="s">
        <v>367</v>
      </c>
    </row>
    <row r="6" spans="1:4" x14ac:dyDescent="0.25">
      <c r="A6" t="str">
        <f t="shared" si="0"/>
        <v>St_Det_Mi</v>
      </c>
      <c r="B6" t="s">
        <v>384</v>
      </c>
      <c r="C6" t="s">
        <v>368</v>
      </c>
      <c r="D6" t="s">
        <v>211</v>
      </c>
    </row>
    <row r="7" spans="1:4" x14ac:dyDescent="0.25">
      <c r="A7" t="str">
        <f t="shared" si="0"/>
        <v>St_Col_Oh</v>
      </c>
      <c r="B7" t="s">
        <v>385</v>
      </c>
      <c r="C7" t="s">
        <v>369</v>
      </c>
      <c r="D7" t="s">
        <v>211</v>
      </c>
    </row>
    <row r="8" spans="1:4" x14ac:dyDescent="0.25">
      <c r="A8" t="str">
        <f t="shared" si="0"/>
        <v>St_Ind_In</v>
      </c>
      <c r="B8" t="s">
        <v>386</v>
      </c>
      <c r="C8" t="s">
        <v>370</v>
      </c>
      <c r="D8" t="s">
        <v>211</v>
      </c>
    </row>
    <row r="9" spans="1:4" x14ac:dyDescent="0.25">
      <c r="A9" t="str">
        <f t="shared" si="0"/>
        <v>St_Pho_ A</v>
      </c>
      <c r="B9" t="s">
        <v>387</v>
      </c>
      <c r="C9" t="s">
        <v>371</v>
      </c>
      <c r="D9" t="s">
        <v>375</v>
      </c>
    </row>
    <row r="10" spans="1:4" x14ac:dyDescent="0.25">
      <c r="A10" t="str">
        <f t="shared" si="0"/>
        <v>St_Alb_ N</v>
      </c>
      <c r="B10" t="s">
        <v>388</v>
      </c>
      <c r="C10" t="s">
        <v>372</v>
      </c>
      <c r="D10" t="s">
        <v>375</v>
      </c>
    </row>
    <row r="11" spans="1:4" x14ac:dyDescent="0.25">
      <c r="A11" t="str">
        <f t="shared" si="0"/>
        <v>St_Okl_Ok</v>
      </c>
      <c r="B11" t="s">
        <v>389</v>
      </c>
      <c r="C11" t="s">
        <v>373</v>
      </c>
      <c r="D11" t="s">
        <v>375</v>
      </c>
    </row>
    <row r="12" spans="1:4" x14ac:dyDescent="0.25">
      <c r="A12" t="str">
        <f t="shared" si="0"/>
        <v>St_Hou_Te</v>
      </c>
      <c r="B12" t="s">
        <v>390</v>
      </c>
      <c r="C12" t="s">
        <v>374</v>
      </c>
      <c r="D12" t="s">
        <v>375</v>
      </c>
    </row>
    <row r="13" spans="1:4" x14ac:dyDescent="0.25">
      <c r="A13" t="str">
        <f t="shared" si="0"/>
        <v>St_Los_Ca</v>
      </c>
      <c r="B13" t="s">
        <v>391</v>
      </c>
      <c r="C13" t="s">
        <v>376</v>
      </c>
      <c r="D13" t="s">
        <v>379</v>
      </c>
    </row>
    <row r="14" spans="1:4" x14ac:dyDescent="0.25">
      <c r="A14" t="str">
        <f t="shared" si="0"/>
        <v>St_Las_Ne</v>
      </c>
      <c r="B14" t="s">
        <v>392</v>
      </c>
      <c r="C14" t="s">
        <v>377</v>
      </c>
      <c r="D14" t="s">
        <v>379</v>
      </c>
    </row>
    <row r="15" spans="1:4" x14ac:dyDescent="0.25">
      <c r="A15" t="str">
        <f t="shared" si="0"/>
        <v>St_Sea_Wa</v>
      </c>
      <c r="B15" t="s">
        <v>393</v>
      </c>
      <c r="C15" t="s">
        <v>378</v>
      </c>
      <c r="D15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aboelhassan</dc:creator>
  <cp:lastModifiedBy>Abo Elhassan Khairy Mohamed Osman</cp:lastModifiedBy>
  <dcterms:created xsi:type="dcterms:W3CDTF">2022-11-11T16:57:35Z</dcterms:created>
  <dcterms:modified xsi:type="dcterms:W3CDTF">2025-10-20T08:14:29Z</dcterms:modified>
</cp:coreProperties>
</file>